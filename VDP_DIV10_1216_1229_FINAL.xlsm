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10\"/>
    </mc:Choice>
  </mc:AlternateContent>
  <xr:revisionPtr revIDLastSave="0" documentId="13_ncr:1_{3D9B1203-4A4D-4874-BC47-82DDDA81AA2E}" xr6:coauthVersionLast="47" xr6:coauthVersionMax="47" xr10:uidLastSave="{00000000-0000-0000-0000-000000000000}"/>
  <bookViews>
    <workbookView xWindow="-120" yWindow="-120" windowWidth="29040" windowHeight="15720" tabRatio="731" firstSheet="1" activeTab="10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VDPMVReport" sheetId="85" r:id="rId11"/>
    <sheet name="UberReport" sheetId="86" r:id="rId12"/>
    <sheet name="JasperReport" sheetId="82" state="hidden" r:id="rId13"/>
    <sheet name="Sheet2" sheetId="98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" sheetId="90" state="hidden" r:id="rId25"/>
    <sheet name="CoastTransactionsChecks" sheetId="91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DIV10PartnerList!$A$1:$J$19</definedName>
    <definedName name="ExternalData_1" localSheetId="6" hidden="1">Div10PartnerListUber!$A$1:$G$8</definedName>
    <definedName name="ExternalData_1" localSheetId="10" hidden="1">SumVDPMVReport!$A$1:$BI$9</definedName>
    <definedName name="ExternalData_1" localSheetId="22" hidden="1">TollsChecks!$A$1:$G$2</definedName>
    <definedName name="ExternalData_1" localSheetId="26" hidden="1">TrapezeFuel!$A$1:$I$101</definedName>
    <definedName name="ExternalData_1" localSheetId="14" hidden="1">TrapezeReport!$A$1:$M$101</definedName>
    <definedName name="ExternalData_1" localSheetId="11" hidden="1">UberReport!$A$1:$AH$9</definedName>
    <definedName name="ExternalData_2" localSheetId="24" hidden="1">'CoastTransactions'!$A$1:$H$72</definedName>
    <definedName name="ExternalData_2" localSheetId="25" hidden="1">'CoastTransactionsChecks'!$A$1:$H$12</definedName>
    <definedName name="ExternalData_2" localSheetId="16" hidden="1">Div10PartnerDetails!$A$1:$C$12</definedName>
    <definedName name="ExternalData_2" localSheetId="12" hidden="1">JasperReport!$A$1:$F$49</definedName>
    <definedName name="ExternalData_2" localSheetId="0" hidden="1">SignBonus!$A$1:$F$3</definedName>
    <definedName name="ExternalData_2" localSheetId="21" hidden="1">TrapezeReportChecks!$A$1:$L$119</definedName>
    <definedName name="ExternalData_3" localSheetId="15" hidden="1">Deductions!$A$1:$K$18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9"/>
  <pivotCaches>
    <pivotCache cacheId="0" r:id="rId42"/>
    <pivotCache cacheId="1" r:id="rId43"/>
    <pivotCache cacheId="2" r:id="rId44"/>
    <pivotCache cacheId="3" r:id="rId45"/>
    <pivotCache cacheId="4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98" l="1"/>
  <c r="D13" i="98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19" i="1" l="1" a="1"/>
  <c r="M19" i="1" s="1"/>
  <c r="M20" i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19" i="1" a="1"/>
  <c r="L19" i="1" s="1"/>
  <c r="L20" i="1" a="1"/>
  <c r="L20" i="1" s="1"/>
  <c r="L21" i="1" a="1"/>
  <c r="L21" i="1" s="1"/>
  <c r="L22" i="1" a="1"/>
  <c r="L22" i="1" s="1"/>
  <c r="J19" i="1" a="1"/>
  <c r="J19" i="1" s="1"/>
  <c r="J20" i="1" a="1"/>
  <c r="J20" i="1" s="1"/>
  <c r="J21" i="1" a="1"/>
  <c r="J21" i="1" s="1"/>
  <c r="J22" i="1" a="1"/>
  <c r="J22" i="1" s="1"/>
  <c r="H19" i="1" a="1"/>
  <c r="H19" i="1" s="1"/>
  <c r="H20" i="1" a="1"/>
  <c r="H20" i="1" s="1"/>
  <c r="H21" i="1" a="1"/>
  <c r="H21" i="1" s="1"/>
  <c r="H22" i="1" a="1"/>
  <c r="H22" i="1" s="1"/>
  <c r="G19" i="1" a="1"/>
  <c r="G19" i="1" s="1"/>
  <c r="G20" i="1" a="1"/>
  <c r="G20" i="1" s="1"/>
  <c r="G21" i="1" a="1"/>
  <c r="G21" i="1" s="1"/>
  <c r="G22" i="1" a="1"/>
  <c r="G22" i="1" s="1"/>
  <c r="F19" i="1" a="1"/>
  <c r="F19" i="1" s="1"/>
  <c r="F20" i="1" a="1"/>
  <c r="F20" i="1" s="1"/>
  <c r="F21" i="1" a="1"/>
  <c r="F21" i="1" s="1"/>
  <c r="F22" i="1" a="1"/>
  <c r="F22" i="1" s="1"/>
  <c r="E19" i="1" a="1"/>
  <c r="E19" i="1" s="1"/>
  <c r="E20" i="1" a="1"/>
  <c r="E20" i="1" s="1"/>
  <c r="E21" i="1" a="1"/>
  <c r="E21" i="1" s="1"/>
  <c r="E22" i="1" a="1"/>
  <c r="E22" i="1" s="1"/>
  <c r="I19" i="1" a="1"/>
  <c r="I19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7" i="1" l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<sst xmlns="http://schemas.openxmlformats.org/spreadsheetml/2006/main" count="2541" uniqueCount="387">
  <si>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</si>
  <si>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</si>
  <si>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</si>
  <si>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</si>
  <si>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</si>
  <si>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</si>
  <si>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</si>
  <si>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</si>
  <si>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</si>
  <si>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</si>
  <si>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</si>
  <si>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</si>
  <si>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</si>
  <si>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</si>
  <si>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</si>
  <si>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</si>
  <si>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</si>
  <si>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</si>
  <si>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</si>
  <si>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</si>
  <si>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</si>
  <si>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</si>
  <si>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</si>
  <si>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</si>
  <si>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</si>
  <si>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</si>
  <si>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</si>
  <si>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</si>
  <si>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</si>
  <si>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</si>
  <si>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</si>
  <si>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</si>
  <si>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</si>
  <si>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</si>
  <si>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</si>
  <si>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</si>
  <si>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</si>
  <si>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</si>
  <si>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</si>
  <si>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</si>
  <si>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</si>
  <si>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</si>
  <si>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</si>
  <si>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</si>
  <si>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</si>
  <si>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</si>
  <si>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</si>
  <si>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</si>
  <si>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</si>
  <si>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</si>
  <si>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</si>
  <si>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DHARON DEPASS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</si>
  <si>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</si>
  <si>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</si>
  <si>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</si>
  <si>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</si>
  <si>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</si>
  <si>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</si>
  <si>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</si>
  <si>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</si>
  <si>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</si>
  <si>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</si>
  <si>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</si>
  <si>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</si>
  <si>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</si>
  <si>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</si>
  <si>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</si>
  <si>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</si>
  <si>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</si>
  <si>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</si>
  <si>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</si>
  <si>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</si>
  <si>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</si>
  <si>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</si>
  <si>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</si>
  <si>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</si>
  <si>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</si>
  <si>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</si>
  <si>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</si>
  <si>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</si>
  <si>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</si>
  <si>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</si>
  <si>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</si>
  <si>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</si>
  <si>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</si>
  <si>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</si>
  <si>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</si>
  <si>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</si>
  <si>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</si>
  <si>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</si>
  <si>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</si>
  <si>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</si>
  <si>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</si>
  <si>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</si>
  <si>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</si>
  <si>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</si>
  <si>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</si>
  <si>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</si>
  <si>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</si>
  <si>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Count</t>
  </si>
  <si>
    <t>Calcuated</t>
  </si>
  <si>
    <t>Trip Rate</t>
  </si>
  <si>
    <t>PARTNER NAME</t>
  </si>
  <si>
    <t>OPERATOR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</si>
  <si>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</si>
  <si>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</si>
  <si>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</si>
  <si>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</si>
  <si>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</si>
  <si>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</si>
  <si>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</si>
  <si>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</si>
  <si>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</si>
  <si>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</si>
  <si>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</si>
  <si>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</si>
  <si>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</si>
  <si>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</si>
  <si>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SIMON NJOGU</t>
  </si>
  <si>
    <t>DOMINIQUE CARR</t>
  </si>
  <si>
    <t>dominiquecarr66@gmail.com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</si>
  <si>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</si>
  <si>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</si>
  <si>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</si>
  <si>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</si>
  <si>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</si>
  <si>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</si>
  <si>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</si>
  <si>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</si>
  <si>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</si>
  <si>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</si>
  <si>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</si>
  <si>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</si>
  <si>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</si>
  <si>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</si>
  <si>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</si>
  <si>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</si>
  <si>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</si>
  <si>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</si>
  <si>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</si>
  <si>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</si>
  <si>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</si>
  <si>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</si>
  <si>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</si>
  <si>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</si>
  <si>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</si>
  <si>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</si>
  <si>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</si>
  <si>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</si>
  <si>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</si>
  <si>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</si>
  <si>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</si>
  <si>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</si>
  <si>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</si>
  <si>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</si>
  <si>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</si>
  <si>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</si>
  <si>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</si>
  <si>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</si>
  <si>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</si>
  <si>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</si>
  <si>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</si>
  <si>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</si>
  <si>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</si>
  <si>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</si>
  <si>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</si>
  <si>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</si>
  <si>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</si>
  <si>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</si>
  <si>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</si>
  <si>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</si>
  <si>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</si>
  <si>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</si>
  <si>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</si>
  <si>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</si>
  <si>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</si>
  <si>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</si>
  <si>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</si>
  <si>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</si>
  <si>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</si>
  <si>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</si>
  <si>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</si>
  <si>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</si>
  <si>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</si>
  <si>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</si>
  <si>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</si>
  <si>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Ride Date</t>
  </si>
  <si>
    <t>Route</t>
  </si>
  <si>
    <t>Fare Type</t>
  </si>
  <si>
    <t>Operator Name</t>
  </si>
  <si>
    <t>DIV10PartnerList.PARTNER NAME</t>
  </si>
  <si>
    <t>901</t>
  </si>
  <si>
    <t>ALCAIRE, DAMASO</t>
  </si>
  <si>
    <t>908</t>
  </si>
  <si>
    <t>KIRUMIRA, MPAGI</t>
  </si>
  <si>
    <t>VAMONOS TRANSPORTATION LLC</t>
  </si>
  <si>
    <t>902</t>
  </si>
  <si>
    <t>FLORES CALDERON, ANDY</t>
  </si>
  <si>
    <t>MVO TRANSPORTATION</t>
  </si>
  <si>
    <t>905</t>
  </si>
  <si>
    <t>HIZA TORRICO, ALEJANDRO</t>
  </si>
  <si>
    <t>ARISESIZ LLC</t>
  </si>
  <si>
    <t>911</t>
  </si>
  <si>
    <t>MUGENZI, INNOCENT</t>
  </si>
  <si>
    <t>JUST EASY ACCESS RIDE LLC</t>
  </si>
  <si>
    <t>913</t>
  </si>
  <si>
    <t>ROBY, ARVIN</t>
  </si>
  <si>
    <t>ROADRUNNERLIFT23 LLC</t>
  </si>
  <si>
    <t>904</t>
  </si>
  <si>
    <t>MERRILL, TIMOTHY</t>
  </si>
  <si>
    <t>MTIGER TRANSPORTATION</t>
  </si>
  <si>
    <t>903</t>
  </si>
  <si>
    <t>DENEBO, FIRAOL</t>
  </si>
  <si>
    <t>ANGELES TRANSPORTATION, LLC</t>
  </si>
  <si>
    <t>Manifest</t>
  </si>
  <si>
    <t>Lunch</t>
  </si>
  <si>
    <t>Hours</t>
  </si>
  <si>
    <t>Miles</t>
  </si>
  <si>
    <t>LIFT VAN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</si>
  <si>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</si>
  <si>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</si>
  <si>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</si>
  <si>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</si>
  <si>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</si>
  <si>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</si>
  <si>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</si>
  <si>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</si>
  <si>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MvOtransportation503@gmail.com</t>
  </si>
  <si>
    <t>mugenzijustin4@gmail.com</t>
  </si>
  <si>
    <t>Ahizaexll@gmail.com</t>
  </si>
  <si>
    <t>mike@roadrunnerlift.com</t>
  </si>
  <si>
    <t>mtiger7514@gmail.com</t>
  </si>
  <si>
    <t>mpagi0752@gmail.com</t>
  </si>
  <si>
    <t>angelestransportationllc@gmail.com</t>
  </si>
  <si>
    <t>arviroby83@gmail.com</t>
  </si>
  <si>
    <t>PARTNER ABRIVATION</t>
  </si>
  <si>
    <t>RUNS COVERED</t>
  </si>
  <si>
    <t>CLI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</si>
  <si>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</si>
  <si>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</si>
  <si>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</si>
  <si>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</si>
  <si>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</si>
  <si>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</si>
  <si>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</si>
  <si>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</si>
  <si>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Sum of Trips</t>
  </si>
  <si>
    <t>Row Labels</t>
  </si>
  <si>
    <t>Grand Total</t>
  </si>
  <si>
    <t>Sum of Cash Fares Collected</t>
  </si>
  <si>
    <t>(blank)</t>
  </si>
  <si>
    <t>Sum of Amount</t>
  </si>
  <si>
    <t>906</t>
  </si>
  <si>
    <t>910</t>
  </si>
  <si>
    <t>No Data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</si>
  <si>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</si>
  <si>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</si>
  <si>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</si>
  <si>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</si>
  <si>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</si>
  <si>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</si>
  <si>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</si>
  <si>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</si>
  <si>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</si>
  <si>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</si>
  <si>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</si>
  <si>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</si>
  <si>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</si>
  <si>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</si>
  <si>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</si>
  <si>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</si>
  <si>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</si>
  <si>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</si>
  <si>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</si>
  <si>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</si>
  <si>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</si>
  <si>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</si>
  <si>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</si>
  <si>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</si>
  <si>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</si>
  <si>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</si>
  <si>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</si>
  <si>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</si>
  <si>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</si>
  <si>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</si>
  <si>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</si>
  <si>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</si>
  <si>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</si>
  <si>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</si>
  <si>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User</t>
  </si>
  <si>
    <t>Gallons</t>
  </si>
  <si>
    <t>Cost Per Gallon</t>
  </si>
  <si>
    <t>Computed Amount</t>
  </si>
  <si>
    <t>Diff</t>
  </si>
  <si>
    <t>ALL THESE ARE UBER DRIVERS</t>
  </si>
  <si>
    <t>Total Miles</t>
  </si>
  <si>
    <t>Fuel Rate</t>
  </si>
  <si>
    <t>Calculated Gallons (@19MilesPerGallon)</t>
  </si>
  <si>
    <t>Calculated Fuel Cost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</si>
  <si>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</si>
  <si>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</si>
  <si>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</si>
  <si>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</si>
  <si>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</si>
  <si>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</si>
  <si>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</si>
  <si>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</si>
  <si>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</si>
  <si>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</si>
  <si>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</si>
  <si>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</si>
  <si>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</si>
  <si>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</si>
  <si>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</si>
  <si>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</si>
  <si>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</si>
  <si>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</si>
  <si>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</si>
  <si>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</si>
  <si>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</si>
  <si>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</si>
  <si>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</si>
  <si>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</si>
  <si>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</si>
  <si>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</si>
  <si>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</si>
  <si>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</si>
  <si>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</si>
  <si>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</si>
  <si>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</si>
  <si>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</si>
  <si>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</si>
  <si>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</si>
  <si>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</si>
  <si>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</si>
  <si>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</si>
  <si>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MICHAEL</t>
  </si>
  <si>
    <t>WOOLWINE</t>
  </si>
  <si>
    <t>MICHAEL WOOLWINE</t>
  </si>
  <si>
    <t>OSMANOVIC, EDIS</t>
  </si>
  <si>
    <t>KENNEDY, PAUL</t>
  </si>
  <si>
    <t>PAUL KENNEDY</t>
  </si>
  <si>
    <t>DIV10-OR</t>
  </si>
  <si>
    <t>paulke27@gmail.com</t>
  </si>
  <si>
    <t>SANVIN VOYAGE LLC</t>
  </si>
  <si>
    <t>EDIS OSMANOVIC</t>
  </si>
  <si>
    <t>edis79osmanovic@gmail.com</t>
  </si>
  <si>
    <t>Extra hours</t>
  </si>
  <si>
    <t>DEAUNDREY WRIGHT</t>
  </si>
  <si>
    <t>dwright141@gmail.com</t>
  </si>
  <si>
    <t>909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</si>
  <si>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</si>
  <si>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</si>
  <si>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</si>
  <si>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</si>
  <si>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</si>
  <si>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</si>
  <si>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98f08278-b9db-40d2-8bfc-c28f8b01f7a6</t>
  </si>
  <si>
    <t>DHARON</t>
  </si>
  <si>
    <t>DEPASS</t>
  </si>
  <si>
    <t>d91dd650-bf74-41d1-bbee-dedc000724eb</t>
  </si>
  <si>
    <t>Cash</t>
  </si>
  <si>
    <t>ARVIN ROBY</t>
  </si>
  <si>
    <t>INNOCENT MUGENZI</t>
  </si>
  <si>
    <t>FIRAOL DENEBO</t>
  </si>
  <si>
    <t>TIMOTHY MERRILL</t>
  </si>
  <si>
    <t>ANDY CALDERON FLOREZ</t>
  </si>
  <si>
    <t>DOMINQUE CARR</t>
  </si>
  <si>
    <t>907</t>
  </si>
  <si>
    <t>912</t>
  </si>
  <si>
    <t>Dec</t>
  </si>
  <si>
    <t>16-Dec</t>
  </si>
  <si>
    <t>17-Dec</t>
  </si>
  <si>
    <t>18-Dec</t>
  </si>
  <si>
    <t>19-Dec</t>
  </si>
  <si>
    <t>20-Dec</t>
  </si>
  <si>
    <t>23-Dec</t>
  </si>
  <si>
    <t>24-Dec</t>
  </si>
  <si>
    <t>26-Dec</t>
  </si>
  <si>
    <t>27-Dec</t>
  </si>
  <si>
    <t>28-Dec</t>
  </si>
  <si>
    <t>WRIGHT, DEAUNDREY</t>
  </si>
  <si>
    <t>RIDEPASS, LLC</t>
  </si>
  <si>
    <t>deridepass@gmail.com</t>
  </si>
  <si>
    <t>CARR TRANSIT LLC</t>
  </si>
  <si>
    <t>SAFE DESTINATION TRANSPORTATION LLC</t>
  </si>
  <si>
    <t>SUITE CHARRIOT MOBILITY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</si>
</sst>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m/d/yyyy;@"/>
    <numFmt numFmtId="170" formatCode="_(* #,##0_);_(* \(#,##0\);_(* &quot;-&quot;??_);_(@_)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92">
    <xf numFmtId="0" fontId="0" fillId="0" borderId="0"/>
    <xf numFmtId="166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7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49" fillId="0" borderId="0"/>
    <xf numFmtId="167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0" fontId="40" fillId="0" borderId="0">
      <alignment vertical="top"/>
    </xf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7" fontId="38" fillId="0" borderId="0" applyFont="0" applyFill="0" applyBorder="0" applyAlignment="0" applyProtection="0"/>
    <xf numFmtId="0" fontId="2" fillId="0" borderId="0"/>
    <xf numFmtId="0" fontId="38" fillId="0" borderId="0"/>
    <xf numFmtId="166" fontId="38" fillId="0" borderId="0" applyFont="0" applyFill="0" applyBorder="0" applyAlignment="0" applyProtection="0"/>
    <xf numFmtId="0" fontId="38" fillId="0" borderId="0"/>
    <xf numFmtId="166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23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6" fontId="41" fillId="0" borderId="0" xfId="1" applyFont="1"/>
    <xf numFmtId="2" fontId="39" fillId="0" borderId="0" xfId="0" applyNumberFormat="1" applyFont="1"/>
    <xf numFmtId="0" fontId="39" fillId="0" borderId="0" xfId="0" applyFont="1"/>
    <xf numFmtId="166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6" fontId="38" fillId="0" borderId="0" xfId="1" applyFont="1"/>
    <xf numFmtId="2" fontId="37" fillId="0" borderId="0" xfId="44" applyNumberFormat="1"/>
    <xf numFmtId="166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7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6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6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6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6" fontId="41" fillId="0" borderId="0" xfId="82" applyFont="1"/>
    <xf numFmtId="166" fontId="55" fillId="0" borderId="0" xfId="82" applyFont="1" applyFill="1" applyBorder="1"/>
    <xf numFmtId="167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6" fontId="0" fillId="36" borderId="0" xfId="82" applyFont="1" applyFill="1" applyBorder="1"/>
    <xf numFmtId="167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8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8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8" fontId="39" fillId="0" borderId="0" xfId="0" applyNumberFormat="1" applyFont="1" applyAlignment="1">
      <alignment horizontal="left"/>
    </xf>
    <xf numFmtId="168" fontId="35" fillId="0" borderId="0" xfId="0" applyNumberFormat="1" applyFont="1"/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9" fontId="59" fillId="0" borderId="14" xfId="0" applyNumberFormat="1" applyFont="1" applyBorder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8" fontId="39" fillId="0" borderId="0" xfId="0" applyNumberFormat="1" applyFont="1" applyAlignment="1">
      <alignment horizontal="center"/>
    </xf>
    <xf numFmtId="168" fontId="66" fillId="0" borderId="0" xfId="0" applyNumberFormat="1" applyFont="1"/>
    <xf numFmtId="2" fontId="39" fillId="0" borderId="16" xfId="0" applyNumberFormat="1" applyFont="1" applyBorder="1"/>
    <xf numFmtId="168" fontId="66" fillId="0" borderId="0" xfId="0" applyNumberFormat="1" applyFont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8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5" fontId="48" fillId="0" borderId="0" xfId="0" applyNumberFormat="1" applyFont="1"/>
    <xf numFmtId="165" fontId="48" fillId="0" borderId="16" xfId="0" applyNumberFormat="1" applyFont="1" applyBorder="1"/>
    <xf numFmtId="168" fontId="39" fillId="0" borderId="0" xfId="0" applyNumberFormat="1" applyFont="1"/>
    <xf numFmtId="168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6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6" fontId="0" fillId="0" borderId="24" xfId="1" applyFont="1" applyBorder="1"/>
    <xf numFmtId="0" fontId="39" fillId="0" borderId="26" xfId="44" applyFont="1" applyBorder="1" applyAlignment="1">
      <alignment horizontal="left"/>
    </xf>
    <xf numFmtId="166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6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6" fontId="39" fillId="0" borderId="11" xfId="0" applyNumberFormat="1" applyFont="1" applyBorder="1"/>
    <xf numFmtId="166" fontId="39" fillId="0" borderId="11" xfId="1" applyFont="1" applyBorder="1"/>
    <xf numFmtId="170" fontId="39" fillId="0" borderId="11" xfId="90" applyNumberFormat="1" applyFont="1" applyBorder="1"/>
    <xf numFmtId="166" fontId="0" fillId="0" borderId="0" xfId="0" applyNumberFormat="1"/>
    <xf numFmtId="0" fontId="68" fillId="45" borderId="27" xfId="0" applyFont="1" applyFill="1" applyBorder="1"/>
    <xf numFmtId="169" fontId="59" fillId="0" borderId="27" xfId="0" applyNumberFormat="1" applyFont="1" applyBorder="1"/>
    <xf numFmtId="169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0" fillId="0" borderId="0" xfId="91" applyNumberFormat="1" applyFont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8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8" fontId="35" fillId="39" borderId="31" xfId="91" applyNumberFormat="1" applyFont="1" applyFill="1" applyBorder="1" applyAlignment="1">
      <alignment horizontal="center" vertical="center"/>
    </xf>
    <xf numFmtId="168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/>
    <xf numFmtId="168" fontId="0" fillId="0" borderId="0" xfId="1" applyNumberFormat="1" applyFont="1"/>
    <xf numFmtId="0" fontId="68" fillId="37" borderId="12" xfId="44" applyFont="1" applyFill="1" applyBorder="1"/>
    <xf numFmtId="168" fontId="37" fillId="0" borderId="0" xfId="44" applyNumberFormat="1"/>
    <xf numFmtId="168" fontId="37" fillId="0" borderId="0" xfId="44" applyNumberFormat="1" applyAlignment="1">
      <alignment horizontal="center"/>
    </xf>
    <xf numFmtId="168" fontId="37" fillId="0" borderId="0" xfId="44" quotePrefix="1" applyNumberFormat="1" applyAlignment="1">
      <alignment horizontal="center"/>
    </xf>
    <xf numFmtId="168" fontId="37" fillId="0" borderId="0" xfId="1" applyNumberFormat="1" applyFont="1" applyAlignment="1" applyProtection="1">
      <alignment horizontal="center"/>
    </xf>
    <xf numFmtId="168" fontId="37" fillId="0" borderId="0" xfId="43" applyNumberFormat="1" applyFont="1" applyAlignment="1" applyProtection="1">
      <alignment horizontal="center"/>
    </xf>
    <xf numFmtId="168" fontId="39" fillId="35" borderId="0" xfId="44" applyNumberFormat="1" applyFont="1" applyFill="1" applyAlignment="1">
      <alignment horizontal="center"/>
    </xf>
    <xf numFmtId="168" fontId="39" fillId="35" borderId="0" xfId="44" applyNumberFormat="1" applyFont="1" applyFill="1" applyAlignment="1">
      <alignment horizontal="center" vertical="center"/>
    </xf>
    <xf numFmtId="168" fontId="42" fillId="38" borderId="0" xfId="44" applyNumberFormat="1" applyFont="1" applyFill="1" applyAlignment="1">
      <alignment horizontal="center" vertical="center"/>
    </xf>
    <xf numFmtId="168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73" fillId="0" borderId="0" xfId="0" applyFont="1"/>
    <xf numFmtId="166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6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66" fillId="47" borderId="36" xfId="0" applyFont="1" applyFill="1" applyBorder="1"/>
    <xf numFmtId="0" fontId="66" fillId="0" borderId="36" xfId="0" applyFont="1" applyBorder="1"/>
    <xf numFmtId="0" fontId="68" fillId="37" borderId="12" xfId="44" applyFont="1" applyFill="1" applyBorder="1" applyAlignment="1">
      <alignment horizont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8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8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8" fontId="39" fillId="0" borderId="35" xfId="0" applyNumberFormat="1" applyFont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44"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1" formatCode="m/d/yyyy"/>
    </dxf>
    <dxf>
      <numFmt numFmtId="171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26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013887" createdVersion="8" refreshedVersion="8" minRefreshableVersion="3" recordCount="100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4-12-29T00:00:00" count="106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9"/>
    </cacheField>
    <cacheField name="Manifest" numFmtId="0">
      <sharedItems/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17000000000001"/>
    </cacheField>
    <cacheField name="Revenue Hours Operated" numFmtId="0">
      <sharedItems containsSemiMixedTypes="0" containsString="0" containsNumber="1" minValue="0" maxValue="11.617000000000001"/>
    </cacheField>
    <cacheField name="Miles" numFmtId="0">
      <sharedItems containsSemiMixedTypes="0" containsString="0" containsNumber="1" minValue="0" maxValue="156.654"/>
    </cacheField>
    <cacheField name="PARTNER NAME" numFmtId="0">
      <sharedItems containsBlank="1" count="54">
        <s v="FLASH LOGISTICS LLC"/>
        <s v="MVO TRANSPORTATION"/>
        <s v="ANGELES TRANSPORTATION, LLC"/>
        <s v="MTIGER TRANSPORTATION"/>
        <s v="ARISESIZ LLC"/>
        <s v="SUITE CHARRIOT MOBILITY LLC"/>
        <s v="VAMONOS TRANSPORTATION LLC"/>
        <s v="DEAUNDREY WRIGHT"/>
        <s v="SAFE DESTINATION TRANSPORTATION LLC"/>
        <s v="JUST EASY ACCESS RIDE LLC"/>
        <s v="SANVIN VOYAGE LLC"/>
        <s v="SUITE CHARRITY MOBILITY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408.5"/>
    </cacheField>
    <cacheField name="Cash Fares Collected" numFmtId="0">
      <sharedItems containsSemiMixedTypes="0" containsString="0" containsNumber="1" minValue="0" maxValue="14"/>
    </cacheField>
    <cacheField name="OPERATOR NAME" numFmtId="0">
      <sharedItems/>
    </cacheField>
    <cacheField name="Days (Date)" numFmtId="0" databaseField="0">
      <fieldGroup base="0">
        <rangePr groupBy="days" startDate="2024-12-16T00:00:00" endDate="2024-12-29T00:00:00"/>
        <groupItems count="368">
          <s v="&lt;12/16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9/2024"/>
        </groupItems>
      </fieldGroup>
    </cacheField>
    <cacheField name="Months (Date)" numFmtId="0" databaseField="0">
      <fieldGroup base="0">
        <rangePr groupBy="months" startDate="2024-12-16T00:00:00" endDate="2024-12-29T00:00:00"/>
        <groupItems count="14">
          <s v="&lt;12/16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245372" createdVersion="8" refreshedVersion="8" minRefreshableVersion="3" recordCount="48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4-12-29T00:00:00" count="95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3">
        <s v="OSMANOVIC, EDIS"/>
        <s v="MUGENZI, INNOCENT"/>
        <s v="ALCAIRE, DAMASO"/>
        <s v="FLORES CALDERON, ANDY"/>
        <s v="KIRUMIRA, MPAGI"/>
        <s v="KENNEDY, PAUL"/>
        <s v="ROBY, ARVIN"/>
        <s v="WRIGHT, DEAUNDREY"/>
        <s v="DENEBO, FIRAOL"/>
        <s v="MERRILL, TIMOTHY"/>
        <s v="WRIGHT, DE'AUNDREY" u="1"/>
        <m u="1"/>
        <s v="HIZA TORRICO, ALEJANDRO"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4"/>
    </cacheField>
    <cacheField name="DIV10PartnerList.PARTNER NAME" numFmtId="0">
      <sharedItems containsBlank="1" count="21">
        <s v="SAFE DESTINATION TRANSPORTATION LLC"/>
        <s v="JUST EASY ACCESS RIDE LLC"/>
        <s v="FLASH LOGISTICS LLC"/>
        <s v="MVO TRANSPORTATION"/>
        <s v="VAMONOS TRANSPORTATION LLC"/>
        <m/>
        <s v="SANVIN VOYAGE LLC"/>
        <s v="DEAUNDREY WRIGHT"/>
        <s v="ANGELES TRANSPORTATION, LLC"/>
        <s v="MTIGER TRANSPORTATION"/>
        <s v="EDIS OSMANOVIC" u="1"/>
        <s v="PAUL KENNEDY" u="1"/>
        <s v="ARISESIZ LLC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36111" createdVersion="8" refreshedVersion="8" minRefreshableVersion="3" recordCount="11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16T00:00:00" maxDate="2024-12-30T00:00:00"/>
    </cacheField>
    <cacheField name="User" numFmtId="0">
      <sharedItems containsBlank="1" count="9">
        <s v="DHARON DEPASS"/>
        <s v="ANTOINETTE SMITH"/>
        <s v="DOMINQUE CARR"/>
        <s v="MICHAEL WOOLWINE"/>
        <m u="1"/>
        <s v="ANTHONY PUGH" u="1"/>
        <s v="EDIS OSMANOVIC" u="1"/>
        <s v="PAUL KENNEDY" u="1"/>
        <s v="EDIS OSAMANOVIC" u="1"/>
      </sharedItems>
    </cacheField>
    <cacheField name="Amount" numFmtId="0">
      <sharedItems containsSemiMixedTypes="0" containsString="0" containsNumber="1" minValue="23.87" maxValue="39"/>
    </cacheField>
    <cacheField name="Gallons" numFmtId="0">
      <sharedItems containsSemiMixedTypes="0" containsString="0" containsNumber="1" minValue="5.97" maxValue="10.38"/>
    </cacheField>
    <cacheField name="Cost Per Gallon" numFmtId="0">
      <sharedItems containsSemiMixedTypes="0" containsString="0" containsNumber="1" minValue="3.66" maxValue="4.18"/>
    </cacheField>
    <cacheField name="Computed Amount" numFmtId="0">
      <sharedItems containsSemiMixedTypes="0" containsString="0" containsNumber="1" minValue="23.88" maxValue="39.028800000000004"/>
    </cacheField>
    <cacheField name="Diff" numFmtId="0">
      <sharedItems containsSemiMixedTypes="0" containsString="0" containsNumber="1" minValue="-2.8800000000003934E-2" maxValue="2.1599999999999397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476849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36" maxValue="48"/>
    </cacheField>
    <cacheField name="Online Hours" numFmtId="0">
      <sharedItems containsSemiMixedTypes="0" containsString="0" containsNumber="1" minValue="32.57" maxValue="53.34"/>
    </cacheField>
    <cacheField name="Payable Online Hours" numFmtId="0">
      <sharedItems containsSemiMixedTypes="0" containsString="0" containsNumber="1" minValue="32.57" maxValue="48"/>
    </cacheField>
    <cacheField name="% of Hours to Required" numFmtId="0">
      <sharedItems containsSemiMixedTypes="0" containsString="0" containsNumber="1" minValue="0.90472222222222198" maxValue="1"/>
    </cacheField>
    <cacheField name="Core Hours Rev" numFmtId="0">
      <sharedItems containsSemiMixedTypes="0" containsString="0" containsNumber="1" minValue="688.0412" maxValue="1014"/>
    </cacheField>
    <cacheField name="CHI Tier 1 Rev" numFmtId="0">
      <sharedItems containsSemiMixedTypes="0" containsString="0" containsNumber="1" minValue="0" maxValue="31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52.926250000000003"/>
    </cacheField>
    <cacheField name="Acceptance Rate" numFmtId="0">
      <sharedItems containsSemiMixedTypes="0" containsString="0" containsNumber="1" minValue="0.9375" maxValue="1"/>
    </cacheField>
    <cacheField name="Cancellation Rate" numFmtId="0">
      <sharedItems containsSemiMixedTypes="0" containsString="0" containsNumber="1" minValue="0" maxValue="0.133333333333333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9.2416334049738993E-2" maxValue="0.277448869752422"/>
    </cacheField>
    <cacheField name="Utilization Rev" numFmtId="0">
      <sharedItems containsSemiMixedTypes="0" containsString="0" containsNumber="1" minValue="52.926200000000001" maxValue="78"/>
    </cacheField>
    <cacheField name="Driver Tips" numFmtId="0">
      <sharedItems containsSemiMixedTypes="0" containsString="0" containsNumber="1" minValue="5" maxValue="44.66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904.74620000000004" maxValue="1597"/>
    </cacheField>
    <cacheField name="Required" numFmtId="0">
      <sharedItems containsSemiMixedTypes="0" containsString="0" containsNumber="1" containsInteger="1" minValue="36" maxValue="48"/>
    </cacheField>
    <cacheField name="CHI Rev" numFmtId="0">
      <sharedItems containsSemiMixedTypes="0" containsString="0" containsNumber="1" minValue="52.926200000000001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1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9">
        <s v="CARR TRANSIT LLC"/>
        <s v="BAMS TRANSIT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6"/>
    </cacheField>
    <cacheField name="Total Supply Hours" numFmtId="0">
      <sharedItems containsSemiMixedTypes="0" containsString="0" containsNumber="1" minValue="32.92" maxValue="53.39"/>
    </cacheField>
    <cacheField name="Paused Hours" numFmtId="0">
      <sharedItems containsSemiMixedTypes="0" containsString="0" containsNumber="1" minValue="0" maxValue="0.35"/>
    </cacheField>
    <cacheField name="WAV Trips" numFmtId="0">
      <sharedItems containsSemiMixedTypes="0" containsString="0" containsNumber="1" containsInteger="1" minValue="4" maxValue="16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01" maxValue="12.4"/>
    </cacheField>
    <cacheField name="Open Hours" numFmtId="0">
      <sharedItems containsSemiMixedTypes="0" containsString="0" containsNumber="1" minValue="26.85" maxValue="42.91"/>
    </cacheField>
    <cacheField name="Core Total Supply Hours" numFmtId="0">
      <sharedItems containsSemiMixedTypes="0" containsString="0" containsNumber="1" minValue="1.23" maxValue="45.87"/>
    </cacheField>
    <cacheField name="Core Utilized Hours" numFmtId="0">
      <sharedItems containsSemiMixedTypes="0" containsString="0" containsNumber="1" minValue="0" maxValue="12.4"/>
    </cacheField>
    <cacheField name="Trips Per Hours" numFmtId="0">
      <sharedItems containsSemiMixedTypes="0" containsString="0" containsNumber="1" minValue="0.12" maxValue="0.35"/>
    </cacheField>
    <cacheField name="Total Accepts" numFmtId="0">
      <sharedItems containsSemiMixedTypes="0" containsString="0" containsNumber="1" containsInteger="1" minValue="5" maxValue="18"/>
    </cacheField>
    <cacheField name="Total Rejects" numFmtId="0">
      <sharedItems containsSemiMixedTypes="0" containsString="0" containsNumber="1" containsInteger="1" minValue="0" maxValue="0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53.34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6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48"/>
    </cacheField>
    <cacheField name="Driver Earnings Excl Tips" numFmtId="0">
      <sharedItems containsSemiMixedTypes="0" containsString="0" containsNumber="1" minValue="52.11" maxValue="177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93.439140972223" createdVersion="8" refreshedVersion="8" minRefreshableVersion="3" recordCount="11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16T00:00:00" maxDate="2024-12-29T00:00:00"/>
    </cacheField>
    <cacheField name="VEHICLE TYPE" numFmtId="0">
      <sharedItems containsBlank="1"/>
    </cacheField>
    <cacheField name="Trips" numFmtId="0">
      <sharedItems containsSemiMixedTypes="0" containsString="0" containsNumber="1" containsInteger="1" minValue="0" maxValue="19"/>
    </cacheField>
    <cacheField name="Manifest" numFmtId="0">
      <sharedItems containsMixedTypes="1" containsNumber="1" containsInteger="1" minValue="901" maxValue="9125" count="31">
        <s v="907"/>
        <s v="903"/>
        <s v="905"/>
        <s v="909"/>
        <s v="901"/>
        <s v="911"/>
        <s v="904"/>
        <s v="902"/>
        <s v="910"/>
        <s v="913"/>
        <s v="906"/>
        <s v="908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2"/>
    </cacheField>
    <cacheField name="Miles" numFmtId="0">
      <sharedItems containsSemiMixedTypes="0" containsString="0" containsNumber="1" minValue="0" maxValue="156.65"/>
    </cacheField>
    <cacheField name="PARTNER NAME" numFmtId="0">
      <sharedItems containsBlank="1" count="68">
        <m/>
        <s v="ANGELES TRANSPORTATION, LLC"/>
        <s v="ARISESIZ LLC"/>
        <s v="DEAUNDREY WRIGHT"/>
        <s v="FLASH LOGISTICS LLC"/>
        <s v="JUST EASY ACCESS RIDE LLC"/>
        <s v="MTIGER TRANSPORTATION"/>
        <s v="MVO TRANSPORTATION"/>
        <s v="SAFE DESTINATION TRANSPORTATION LLC"/>
        <s v="SANVIN VOYAGE LLC"/>
        <s v="SUITE CHARRIOT MOBILITY LLC"/>
        <s v="VAMONOS TRANSPORTATION LLC"/>
        <s v="SUITE CHARRITY MOBILITY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tring="0" containsBlank="1" containsNumber="1" minValue="21.5" maxValue="21.5"/>
    </cacheField>
    <cacheField name="Revenue Hours Operated" numFmtId="0">
      <sharedItems containsSemiMixedTypes="0" containsString="0" containsNumber="1" minValue="0" maxValue="11.62"/>
    </cacheField>
    <cacheField name="TTL Rev" numFmtId="0">
      <sharedItems containsString="0" containsBlank="1" containsNumber="1" minValue="0" maxValue="249.83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s v="LIFT VAN"/>
    <n v="13"/>
    <s v="901"/>
    <n v="0.5"/>
    <n v="10.317"/>
    <n v="9.8170000000000002"/>
    <n v="113.072"/>
    <x v="0"/>
    <x v="0"/>
    <n v="279.5"/>
    <n v="2.8"/>
    <s v="ALCAIRE, DAMASO"/>
  </r>
  <r>
    <x v="1"/>
    <s v="LIFT VAN"/>
    <n v="13"/>
    <s v="901"/>
    <n v="0.5"/>
    <n v="10.217000000000001"/>
    <n v="9.7170000000000005"/>
    <n v="144.02600000000001"/>
    <x v="0"/>
    <x v="0"/>
    <n v="279.5"/>
    <n v="5.6"/>
    <s v="ALCAIRE, DAMASO"/>
  </r>
  <r>
    <x v="2"/>
    <s v="LIFT VAN"/>
    <n v="19"/>
    <s v="901"/>
    <n v="0.5"/>
    <n v="10.7"/>
    <n v="10.199999999999999"/>
    <n v="117.979"/>
    <x v="0"/>
    <x v="0"/>
    <n v="408.5"/>
    <n v="5.6"/>
    <s v="ALCAIRE, DAMASO"/>
  </r>
  <r>
    <x v="3"/>
    <s v="LIFT VAN"/>
    <n v="15"/>
    <s v="901"/>
    <n v="0.5"/>
    <n v="9.4830000000000005"/>
    <n v="8.9830000000000005"/>
    <n v="121.56699999999999"/>
    <x v="0"/>
    <x v="0"/>
    <n v="322.5"/>
    <n v="14"/>
    <s v="ALCAIRE, DAMASO"/>
  </r>
  <r>
    <x v="4"/>
    <s v="LIFT VAN"/>
    <n v="13"/>
    <s v="901"/>
    <n v="0.5"/>
    <n v="10.632999999999999"/>
    <n v="10.132999999999999"/>
    <n v="107.322"/>
    <x v="0"/>
    <x v="0"/>
    <n v="279.5"/>
    <n v="5.6"/>
    <s v="ALCAIRE, DAMASO"/>
  </r>
  <r>
    <x v="5"/>
    <s v="LIFT VAN"/>
    <n v="13"/>
    <s v="901"/>
    <n v="0.5"/>
    <n v="9.5670000000000002"/>
    <n v="9.0670000000000002"/>
    <n v="107.191"/>
    <x v="0"/>
    <x v="0"/>
    <n v="279.5"/>
    <n v="0"/>
    <s v="ALCAIRE, DAMASO"/>
  </r>
  <r>
    <x v="6"/>
    <s v="LIFT VAN"/>
    <n v="14"/>
    <s v="901"/>
    <n v="0.5"/>
    <n v="10.3"/>
    <n v="9.8000000000000007"/>
    <n v="121.601"/>
    <x v="0"/>
    <x v="0"/>
    <n v="301"/>
    <n v="0"/>
    <s v="ALCAIRE, DAMASO"/>
  </r>
  <r>
    <x v="7"/>
    <s v="LIFT VAN"/>
    <n v="12"/>
    <s v="901"/>
    <n v="0.5"/>
    <n v="10.467000000000001"/>
    <n v="9.9670000000000005"/>
    <n v="125.999"/>
    <x v="0"/>
    <x v="0"/>
    <n v="258"/>
    <n v="5.6"/>
    <s v="ALCAIRE, DAMASO"/>
  </r>
  <r>
    <x v="8"/>
    <s v="LIFT VAN"/>
    <n v="14"/>
    <s v="901"/>
    <n v="0.5"/>
    <n v="9.7829999999999995"/>
    <n v="9.2829999999999995"/>
    <n v="118.995"/>
    <x v="0"/>
    <x v="0"/>
    <n v="301"/>
    <n v="0"/>
    <s v="ALCAIRE, DAMASO"/>
  </r>
  <r>
    <x v="0"/>
    <s v="LIFT VAN"/>
    <n v="15"/>
    <s v="902"/>
    <n v="0.5"/>
    <n v="10.317"/>
    <n v="9.8170000000000002"/>
    <n v="95.614000000000004"/>
    <x v="1"/>
    <x v="0"/>
    <n v="322.5"/>
    <n v="2.8"/>
    <s v="FLORES CALDERON, ANDY"/>
  </r>
  <r>
    <x v="1"/>
    <s v="LIFT VAN"/>
    <n v="14"/>
    <s v="902"/>
    <n v="0.5"/>
    <n v="9.9499999999999993"/>
    <n v="9.4499999999999993"/>
    <n v="114.233"/>
    <x v="1"/>
    <x v="0"/>
    <n v="301"/>
    <n v="2.8"/>
    <s v="FLORES CALDERON, ANDY"/>
  </r>
  <r>
    <x v="2"/>
    <s v="LIFT VAN"/>
    <n v="14"/>
    <s v="902"/>
    <n v="0.5"/>
    <n v="11.867000000000001"/>
    <n v="11.367000000000001"/>
    <n v="112.974"/>
    <x v="1"/>
    <x v="0"/>
    <n v="301"/>
    <n v="2.8"/>
    <s v="FLORES CALDERON, ANDY"/>
  </r>
  <r>
    <x v="3"/>
    <s v="LIFT VAN"/>
    <n v="14"/>
    <s v="902"/>
    <n v="0.5"/>
    <n v="11.117000000000001"/>
    <n v="10.617000000000001"/>
    <n v="105.97499999999999"/>
    <x v="1"/>
    <x v="0"/>
    <n v="301"/>
    <n v="2.8"/>
    <s v="FLORES CALDERON, ANDY"/>
  </r>
  <r>
    <x v="4"/>
    <s v="LIFT VAN"/>
    <n v="14"/>
    <s v="902"/>
    <n v="0.5"/>
    <n v="10.65"/>
    <n v="10.15"/>
    <n v="121.631"/>
    <x v="1"/>
    <x v="0"/>
    <n v="301"/>
    <n v="2.8"/>
    <s v="FLORES CALDERON, ANDY"/>
  </r>
  <r>
    <x v="5"/>
    <s v="LIFT VAN"/>
    <n v="14"/>
    <s v="902"/>
    <n v="0.5"/>
    <n v="10.217000000000001"/>
    <n v="9.7170000000000005"/>
    <n v="121.84099999999999"/>
    <x v="1"/>
    <x v="0"/>
    <n v="301"/>
    <n v="2.8"/>
    <s v="FLORES CALDERON, ANDY"/>
  </r>
  <r>
    <x v="6"/>
    <s v="LIFT VAN"/>
    <n v="10"/>
    <s v="902"/>
    <n v="0.5"/>
    <n v="10.183"/>
    <n v="9.6829999999999998"/>
    <n v="120.352"/>
    <x v="1"/>
    <x v="0"/>
    <n v="215"/>
    <n v="2.8"/>
    <s v="FLORES CALDERON, ANDY"/>
  </r>
  <r>
    <x v="7"/>
    <s v="LIFT VAN"/>
    <n v="9"/>
    <s v="902"/>
    <n v="0.5"/>
    <n v="8.35"/>
    <n v="7.85"/>
    <n v="90.772999999999996"/>
    <x v="1"/>
    <x v="0"/>
    <n v="193.5"/>
    <n v="0"/>
    <s v="FLORES CALDERON, ANDY"/>
  </r>
  <r>
    <x v="8"/>
    <s v="LIFT VAN"/>
    <n v="11"/>
    <s v="902"/>
    <n v="0.5"/>
    <n v="10.667"/>
    <n v="10.167"/>
    <n v="115.541"/>
    <x v="1"/>
    <x v="0"/>
    <n v="236.5"/>
    <n v="2.8"/>
    <s v="FLORES CALDERON, ANDY"/>
  </r>
  <r>
    <x v="0"/>
    <s v="LIFT VAN"/>
    <n v="18"/>
    <s v="903"/>
    <n v="0.5"/>
    <n v="10.333"/>
    <n v="9.8330000000000002"/>
    <n v="96.995999999999995"/>
    <x v="2"/>
    <x v="0"/>
    <n v="387"/>
    <n v="0"/>
    <s v="DENEBO, FIRAOL"/>
  </r>
  <r>
    <x v="1"/>
    <s v="LIFT VAN"/>
    <n v="14"/>
    <s v="903"/>
    <n v="0.5"/>
    <n v="9.8829999999999991"/>
    <n v="9.3829999999999991"/>
    <n v="126.336"/>
    <x v="2"/>
    <x v="0"/>
    <n v="301"/>
    <n v="0"/>
    <s v="DENEBO, FIRAOL"/>
  </r>
  <r>
    <x v="2"/>
    <s v="LIFT VAN"/>
    <n v="13"/>
    <s v="903"/>
    <n v="0.5"/>
    <n v="9.9"/>
    <n v="9.4"/>
    <n v="109.312"/>
    <x v="2"/>
    <x v="0"/>
    <n v="279.5"/>
    <n v="0"/>
    <s v="DENEBO, FIRAOL"/>
  </r>
  <r>
    <x v="3"/>
    <s v="LIFT VAN"/>
    <n v="12"/>
    <s v="903"/>
    <n v="0.5"/>
    <n v="10.317"/>
    <n v="9.8170000000000002"/>
    <n v="125.36499999999999"/>
    <x v="2"/>
    <x v="0"/>
    <n v="258"/>
    <n v="0"/>
    <s v="DENEBO, FIRAOL"/>
  </r>
  <r>
    <x v="4"/>
    <s v="LIFT VAN"/>
    <n v="17"/>
    <s v="903"/>
    <n v="0.5"/>
    <n v="10.266999999999999"/>
    <n v="9.7669999999999995"/>
    <n v="138.74199999999999"/>
    <x v="2"/>
    <x v="0"/>
    <n v="365.5"/>
    <n v="11.2"/>
    <s v="DENEBO, FIRAOL"/>
  </r>
  <r>
    <x v="5"/>
    <s v="LIFT VAN"/>
    <n v="13"/>
    <s v="903"/>
    <n v="0.5"/>
    <n v="10.25"/>
    <n v="9.75"/>
    <n v="63.569000000000003"/>
    <x v="2"/>
    <x v="0"/>
    <n v="279.5"/>
    <n v="2.8"/>
    <s v="DENEBO, FIRAOL"/>
  </r>
  <r>
    <x v="6"/>
    <s v="LIFT VAN"/>
    <n v="11"/>
    <s v="903"/>
    <n v="0.5"/>
    <n v="10.233000000000001"/>
    <n v="9.7330000000000005"/>
    <n v="136.58799999999999"/>
    <x v="2"/>
    <x v="0"/>
    <n v="236.5"/>
    <n v="8.4"/>
    <s v="DENEBO, FIRAOL"/>
  </r>
  <r>
    <x v="7"/>
    <s v="LIFT VAN"/>
    <n v="0"/>
    <s v="903"/>
    <n v="0"/>
    <n v="0"/>
    <n v="0"/>
    <n v="0"/>
    <x v="2"/>
    <x v="0"/>
    <n v="0"/>
    <n v="0"/>
    <s v="DENEBO, FIRAOL"/>
  </r>
  <r>
    <x v="8"/>
    <s v="LIFT VAN"/>
    <n v="0"/>
    <s v="903"/>
    <n v="0"/>
    <n v="0"/>
    <n v="0"/>
    <n v="0"/>
    <x v="2"/>
    <x v="0"/>
    <n v="0"/>
    <n v="0"/>
    <s v="DENEBO, FIRAOL"/>
  </r>
  <r>
    <x v="0"/>
    <s v="LIFT VAN"/>
    <n v="15"/>
    <s v="904"/>
    <n v="0.5"/>
    <n v="10.7"/>
    <n v="10.199999999999999"/>
    <n v="149.024"/>
    <x v="3"/>
    <x v="0"/>
    <n v="322.5"/>
    <n v="0"/>
    <s v="MERRILL, TIMOTHY"/>
  </r>
  <r>
    <x v="1"/>
    <s v="LIFT VAN"/>
    <n v="12"/>
    <s v="904"/>
    <n v="0.5"/>
    <n v="10.45"/>
    <n v="9.9499999999999993"/>
    <n v="134.75299999999999"/>
    <x v="3"/>
    <x v="0"/>
    <n v="258"/>
    <n v="0"/>
    <s v="MERRILL, TIMOTHY"/>
  </r>
  <r>
    <x v="2"/>
    <s v="LIFT VAN"/>
    <n v="15"/>
    <s v="904"/>
    <n v="0.5"/>
    <n v="10.132999999999999"/>
    <n v="9.6329999999999991"/>
    <n v="113.286"/>
    <x v="3"/>
    <x v="0"/>
    <n v="322.5"/>
    <n v="0"/>
    <s v="MERRILL, TIMOTHY"/>
  </r>
  <r>
    <x v="3"/>
    <s v="LIFT VAN"/>
    <n v="9"/>
    <s v="904"/>
    <n v="0.5"/>
    <n v="10.417"/>
    <n v="9.9169999999999998"/>
    <n v="136.928"/>
    <x v="3"/>
    <x v="0"/>
    <n v="193.5"/>
    <n v="0"/>
    <s v="MERRILL, TIMOTHY"/>
  </r>
  <r>
    <x v="4"/>
    <s v="LIFT VAN"/>
    <n v="14"/>
    <s v="904"/>
    <n v="0.5"/>
    <n v="10.516999999999999"/>
    <n v="10.016999999999999"/>
    <n v="156.654"/>
    <x v="3"/>
    <x v="0"/>
    <n v="301"/>
    <n v="0"/>
    <s v="MERRILL, TIMOTHY"/>
  </r>
  <r>
    <x v="5"/>
    <s v="LIFT VAN"/>
    <n v="14"/>
    <s v="904"/>
    <n v="0.5"/>
    <n v="9.3670000000000009"/>
    <n v="8.8670000000000009"/>
    <n v="91.65"/>
    <x v="3"/>
    <x v="0"/>
    <n v="301"/>
    <n v="5.6"/>
    <s v="MERRILL, TIMOTHY"/>
  </r>
  <r>
    <x v="6"/>
    <s v="LIFT VAN"/>
    <n v="14"/>
    <s v="904"/>
    <n v="0.5"/>
    <n v="10.75"/>
    <n v="10.25"/>
    <n v="110.995"/>
    <x v="3"/>
    <x v="0"/>
    <n v="301"/>
    <n v="8.4"/>
    <s v="MERRILL, TIMOTHY"/>
  </r>
  <r>
    <x v="7"/>
    <s v="LIFT VAN"/>
    <n v="12"/>
    <s v="904"/>
    <n v="0.5"/>
    <n v="10.25"/>
    <n v="9.75"/>
    <n v="145.66300000000001"/>
    <x v="3"/>
    <x v="0"/>
    <n v="258"/>
    <n v="5.6"/>
    <s v="MERRILL, TIMOTHY"/>
  </r>
  <r>
    <x v="8"/>
    <s v="LIFT VAN"/>
    <n v="13"/>
    <s v="904"/>
    <n v="0.5"/>
    <n v="10.6"/>
    <n v="10.1"/>
    <n v="113.777"/>
    <x v="3"/>
    <x v="0"/>
    <n v="279.5"/>
    <n v="2.8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0"/>
    <s v="905"/>
    <n v="0"/>
    <n v="0"/>
    <n v="0"/>
    <n v="0"/>
    <x v="4"/>
    <x v="0"/>
    <n v="0"/>
    <n v="0"/>
    <s v="HIZA TORRICO, ALEJANDRO"/>
  </r>
  <r>
    <x v="3"/>
    <s v="LIFT VAN"/>
    <n v="0"/>
    <s v="905"/>
    <n v="0"/>
    <n v="0"/>
    <n v="0"/>
    <n v="0"/>
    <x v="4"/>
    <x v="0"/>
    <n v="0"/>
    <n v="0"/>
    <s v="HIZA TORRICO, ALEJANDRO"/>
  </r>
  <r>
    <x v="4"/>
    <s v="LIFT VAN"/>
    <n v="0"/>
    <s v="905"/>
    <n v="0"/>
    <n v="0"/>
    <n v="0"/>
    <n v="0"/>
    <x v="4"/>
    <x v="0"/>
    <n v="0"/>
    <n v="0"/>
    <s v="HIZA TORRICO, ALEJANDRO"/>
  </r>
  <r>
    <x v="5"/>
    <s v="LIFT VAN"/>
    <n v="0"/>
    <s v="905"/>
    <n v="0"/>
    <n v="0"/>
    <n v="0"/>
    <n v="0"/>
    <x v="4"/>
    <x v="0"/>
    <n v="0"/>
    <n v="0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7"/>
    <s v="LIFT VAN"/>
    <n v="0"/>
    <s v="905"/>
    <n v="0"/>
    <n v="0"/>
    <n v="0"/>
    <n v="0"/>
    <x v="4"/>
    <x v="0"/>
    <n v="0"/>
    <n v="0"/>
    <s v="HIZA TORRICO, ALEJANDRO"/>
  </r>
  <r>
    <x v="8"/>
    <s v="LIFT VAN"/>
    <n v="0"/>
    <s v="905"/>
    <n v="0"/>
    <n v="0"/>
    <n v="0"/>
    <n v="0"/>
    <x v="4"/>
    <x v="0"/>
    <n v="0"/>
    <n v="0"/>
    <s v="HIZA TORRICO, ALEJANDRO"/>
  </r>
  <r>
    <x v="0"/>
    <s v="LIFT VAN"/>
    <n v="10"/>
    <s v="906"/>
    <n v="0.5"/>
    <n v="10.933"/>
    <n v="10.433"/>
    <n v="114.383"/>
    <x v="5"/>
    <x v="0"/>
    <n v="215"/>
    <n v="0"/>
    <s v="PAUL KENNEDY"/>
  </r>
  <r>
    <x v="1"/>
    <s v="LIFT VAN"/>
    <n v="13"/>
    <s v="906"/>
    <n v="0.5"/>
    <n v="11.882999999999999"/>
    <n v="11.382999999999999"/>
    <n v="114.944"/>
    <x v="5"/>
    <x v="0"/>
    <n v="279.5"/>
    <n v="0"/>
    <s v="PAUL KENNEDY"/>
  </r>
  <r>
    <x v="2"/>
    <s v="LIFT VAN"/>
    <n v="14"/>
    <s v="906"/>
    <n v="0.433"/>
    <n v="11.05"/>
    <n v="10.617000000000001"/>
    <n v="131.13200000000001"/>
    <x v="5"/>
    <x v="0"/>
    <n v="301"/>
    <n v="0"/>
    <s v="PAUL KENNEDY"/>
  </r>
  <r>
    <x v="3"/>
    <s v="LIFT VAN"/>
    <n v="13"/>
    <s v="906"/>
    <n v="0.5"/>
    <n v="11.3"/>
    <n v="10.8"/>
    <n v="116.776"/>
    <x v="5"/>
    <x v="0"/>
    <n v="279.5"/>
    <n v="0"/>
    <s v="PAUL KENNEDY"/>
  </r>
  <r>
    <x v="4"/>
    <s v="LIFT VAN"/>
    <n v="13"/>
    <s v="906"/>
    <n v="0.5"/>
    <n v="10"/>
    <n v="9.5"/>
    <n v="98.58"/>
    <x v="5"/>
    <x v="0"/>
    <n v="279.5"/>
    <n v="0"/>
    <s v="PAUL KENNEDY"/>
  </r>
  <r>
    <x v="5"/>
    <s v="LIFT VAN"/>
    <n v="15"/>
    <s v="906"/>
    <n v="0.5"/>
    <n v="10.817"/>
    <n v="10.317"/>
    <n v="120.32599999999999"/>
    <x v="5"/>
    <x v="0"/>
    <n v="322.5"/>
    <n v="0"/>
    <s v="PAUL KENNEDY"/>
  </r>
  <r>
    <x v="6"/>
    <s v="LIFT VAN"/>
    <n v="11"/>
    <s v="906"/>
    <n v="0.5"/>
    <n v="10.717000000000001"/>
    <n v="10.217000000000001"/>
    <n v="105.798"/>
    <x v="5"/>
    <x v="0"/>
    <n v="236.5"/>
    <n v="0"/>
    <s v="PAUL KENNEDY"/>
  </r>
  <r>
    <x v="7"/>
    <s v="LIFT VAN"/>
    <n v="9"/>
    <s v="906"/>
    <n v="0.5"/>
    <n v="9.5500000000000007"/>
    <n v="9.0500000000000007"/>
    <n v="70.13"/>
    <x v="5"/>
    <x v="0"/>
    <n v="193.5"/>
    <n v="0"/>
    <s v="PAUL KENNEDY"/>
  </r>
  <r>
    <x v="8"/>
    <s v="LIFT VAN"/>
    <n v="13"/>
    <s v="906"/>
    <n v="0.5"/>
    <n v="10.516999999999999"/>
    <n v="10.016999999999999"/>
    <n v="103.232"/>
    <x v="5"/>
    <x v="0"/>
    <n v="279.5"/>
    <n v="0"/>
    <s v="PAUL KENNEDY"/>
  </r>
  <r>
    <x v="9"/>
    <s v="LIFT VAN"/>
    <n v="9"/>
    <s v="906"/>
    <n v="0"/>
    <n v="6.4169999999999998"/>
    <n v="6.4169999999999998"/>
    <n v="65.847999999999999"/>
    <x v="5"/>
    <x v="0"/>
    <n v="193.5"/>
    <n v="0"/>
    <s v="PAUL KENNEDY"/>
  </r>
  <r>
    <x v="0"/>
    <s v="LIFT VAN"/>
    <n v="12"/>
    <s v="908"/>
    <n v="0.5"/>
    <n v="11.117000000000001"/>
    <n v="10.617000000000001"/>
    <n v="103.592"/>
    <x v="6"/>
    <x v="0"/>
    <n v="258"/>
    <n v="0"/>
    <s v="KIRUMIRA, MPAGI"/>
  </r>
  <r>
    <x v="1"/>
    <s v="LIFT VAN"/>
    <n v="4"/>
    <s v="908"/>
    <n v="0"/>
    <n v="3.617"/>
    <n v="3.617"/>
    <n v="36.533000000000001"/>
    <x v="6"/>
    <x v="0"/>
    <n v="86"/>
    <n v="2.8"/>
    <s v="KIRUMIRA, MPAGI"/>
  </r>
  <r>
    <x v="2"/>
    <s v="LIFT VAN"/>
    <n v="0"/>
    <s v="908"/>
    <n v="0"/>
    <n v="0"/>
    <n v="0"/>
    <n v="0"/>
    <x v="6"/>
    <x v="0"/>
    <n v="0"/>
    <n v="0"/>
    <s v="KIRUMIRA, MPAGI"/>
  </r>
  <r>
    <x v="3"/>
    <s v="LIFT VAN"/>
    <n v="0"/>
    <s v="908"/>
    <n v="0"/>
    <n v="0"/>
    <n v="0"/>
    <n v="0"/>
    <x v="6"/>
    <x v="0"/>
    <n v="0"/>
    <n v="0"/>
    <s v="KIRUMIRA, MPAGI"/>
  </r>
  <r>
    <x v="4"/>
    <s v="LIFT VAN"/>
    <n v="0"/>
    <s v="908"/>
    <n v="0"/>
    <n v="0"/>
    <n v="0"/>
    <n v="0"/>
    <x v="6"/>
    <x v="0"/>
    <n v="0"/>
    <n v="0"/>
    <s v="KIRUMIRA, MPAGI"/>
  </r>
  <r>
    <x v="5"/>
    <s v="LIFT VAN"/>
    <n v="0"/>
    <s v="908"/>
    <n v="0"/>
    <n v="0"/>
    <n v="0"/>
    <n v="0"/>
    <x v="6"/>
    <x v="0"/>
    <n v="0"/>
    <n v="0"/>
    <s v="KIRUMIRA, MPAGI"/>
  </r>
  <r>
    <x v="6"/>
    <s v="LIFT VAN"/>
    <n v="0"/>
    <s v="908"/>
    <n v="0"/>
    <n v="0"/>
    <n v="0"/>
    <n v="0"/>
    <x v="6"/>
    <x v="0"/>
    <n v="0"/>
    <n v="0"/>
    <s v="KIRUMIRA, MPAGI"/>
  </r>
  <r>
    <x v="7"/>
    <s v="LIFT VAN"/>
    <n v="0"/>
    <s v="908"/>
    <n v="0"/>
    <n v="0"/>
    <n v="0"/>
    <n v="0"/>
    <x v="6"/>
    <x v="0"/>
    <n v="0"/>
    <n v="0"/>
    <s v="KIRUMIRA, MPAGI"/>
  </r>
  <r>
    <x v="8"/>
    <s v="LIFT VAN"/>
    <n v="0"/>
    <s v="908"/>
    <n v="0"/>
    <n v="0"/>
    <n v="0"/>
    <n v="0"/>
    <x v="6"/>
    <x v="0"/>
    <n v="0"/>
    <n v="0"/>
    <s v="KIRUMIRA, MPAGI"/>
  </r>
  <r>
    <x v="0"/>
    <s v="LIFT VAN"/>
    <n v="10"/>
    <s v="909"/>
    <n v="0.5"/>
    <n v="9.6829999999999998"/>
    <n v="9.1829999999999998"/>
    <n v="75.522000000000006"/>
    <x v="7"/>
    <x v="0"/>
    <n v="215"/>
    <n v="0"/>
    <s v="WRIGHT, DEAUNDREY"/>
  </r>
  <r>
    <x v="1"/>
    <s v="LIFT VAN"/>
    <n v="9"/>
    <s v="909"/>
    <n v="0.5"/>
    <n v="10.083"/>
    <n v="9.5830000000000002"/>
    <n v="99.388999999999996"/>
    <x v="7"/>
    <x v="0"/>
    <n v="193.5"/>
    <n v="0"/>
    <s v="WRIGHT, DEAUNDREY"/>
  </r>
  <r>
    <x v="2"/>
    <s v="LIFT VAN"/>
    <n v="12"/>
    <s v="909"/>
    <n v="0.5"/>
    <n v="11.266999999999999"/>
    <n v="10.766999999999999"/>
    <n v="132.70099999999999"/>
    <x v="7"/>
    <x v="0"/>
    <n v="258"/>
    <n v="2.8"/>
    <s v="WRIGHT, DEAUNDREY"/>
  </r>
  <r>
    <x v="3"/>
    <s v="LIFT VAN"/>
    <n v="14"/>
    <s v="909"/>
    <n v="0.5"/>
    <n v="11.617000000000001"/>
    <n v="11.117000000000001"/>
    <n v="125.218"/>
    <x v="7"/>
    <x v="0"/>
    <n v="301"/>
    <n v="2.8"/>
    <s v="WRIGHT, DEAUNDREY"/>
  </r>
  <r>
    <x v="4"/>
    <s v="LIFT VAN"/>
    <n v="13"/>
    <s v="909"/>
    <n v="0.5"/>
    <n v="9.9169999999999998"/>
    <n v="9.4169999999999998"/>
    <n v="109.554"/>
    <x v="7"/>
    <x v="0"/>
    <n v="279.5"/>
    <n v="5.6"/>
    <s v="WRIGHT, DEAUNDREY"/>
  </r>
  <r>
    <x v="5"/>
    <s v="LIFT VAN"/>
    <n v="13"/>
    <s v="909"/>
    <n v="0.5"/>
    <n v="10.6"/>
    <n v="10.1"/>
    <n v="115.343"/>
    <x v="7"/>
    <x v="0"/>
    <n v="279.5"/>
    <n v="5.6"/>
    <s v="WRIGHT, DEAUNDREY"/>
  </r>
  <r>
    <x v="6"/>
    <s v="LIFT VAN"/>
    <n v="10"/>
    <s v="909"/>
    <n v="0.5"/>
    <n v="9.9499999999999993"/>
    <n v="9.4499999999999993"/>
    <n v="147.31299999999999"/>
    <x v="7"/>
    <x v="0"/>
    <n v="215"/>
    <n v="5.6"/>
    <s v="WRIGHT, DEAUNDREY"/>
  </r>
  <r>
    <x v="7"/>
    <s v="LIFT VAN"/>
    <n v="10"/>
    <s v="909"/>
    <n v="0.5"/>
    <n v="10.317"/>
    <n v="9.8170000000000002"/>
    <n v="95.177000000000007"/>
    <x v="7"/>
    <x v="0"/>
    <n v="215"/>
    <n v="0"/>
    <s v="WRIGHT, DEAUNDREY"/>
  </r>
  <r>
    <x v="8"/>
    <s v="LIFT VAN"/>
    <n v="0"/>
    <s v="909"/>
    <n v="0"/>
    <n v="0"/>
    <n v="0"/>
    <n v="0"/>
    <x v="7"/>
    <x v="0"/>
    <n v="0"/>
    <n v="0"/>
    <s v="WRIGHT, DEAUNDREY"/>
  </r>
  <r>
    <x v="0"/>
    <s v="LIFT VAN"/>
    <n v="13"/>
    <s v="910"/>
    <n v="0.5"/>
    <n v="12.117000000000001"/>
    <n v="11.617000000000001"/>
    <n v="111.532"/>
    <x v="8"/>
    <x v="0"/>
    <n v="279.5"/>
    <n v="5.6"/>
    <s v="OSMANOVIC, EDIS"/>
  </r>
  <r>
    <x v="1"/>
    <s v="LIFT VAN"/>
    <n v="10"/>
    <s v="910"/>
    <n v="0.5"/>
    <n v="10.266999999999999"/>
    <n v="9.7669999999999995"/>
    <n v="119.911"/>
    <x v="8"/>
    <x v="0"/>
    <n v="215"/>
    <n v="0"/>
    <s v="OSMANOVIC, EDIS"/>
  </r>
  <r>
    <x v="2"/>
    <s v="LIFT VAN"/>
    <n v="16"/>
    <s v="910"/>
    <n v="0.5"/>
    <n v="10.6"/>
    <n v="10.1"/>
    <n v="142.977"/>
    <x v="8"/>
    <x v="0"/>
    <n v="344"/>
    <n v="0"/>
    <s v="OSMANOVIC, EDIS"/>
  </r>
  <r>
    <x v="3"/>
    <s v="LIFT VAN"/>
    <n v="13"/>
    <s v="910"/>
    <n v="0.5"/>
    <n v="9.7170000000000005"/>
    <n v="9.2170000000000005"/>
    <n v="129.52000000000001"/>
    <x v="8"/>
    <x v="0"/>
    <n v="279.5"/>
    <n v="0"/>
    <s v="OSMANOVIC, EDIS"/>
  </r>
  <r>
    <x v="4"/>
    <s v="LIFT VAN"/>
    <n v="12"/>
    <s v="910"/>
    <n v="0.5"/>
    <n v="9.7829999999999995"/>
    <n v="9.2829999999999995"/>
    <n v="118.87"/>
    <x v="8"/>
    <x v="0"/>
    <n v="258"/>
    <n v="2.8"/>
    <s v="OSMANOVIC, EDIS"/>
  </r>
  <r>
    <x v="5"/>
    <s v="LIFT VAN"/>
    <n v="13"/>
    <s v="910"/>
    <n v="0.5"/>
    <n v="10.4"/>
    <n v="9.9"/>
    <n v="139.68"/>
    <x v="8"/>
    <x v="0"/>
    <n v="279.5"/>
    <n v="0"/>
    <s v="OSMANOVIC, EDIS"/>
  </r>
  <r>
    <x v="6"/>
    <s v="LIFT VAN"/>
    <n v="12"/>
    <s v="910"/>
    <n v="0.5"/>
    <n v="9.9830000000000005"/>
    <n v="9.4830000000000005"/>
    <n v="110.309"/>
    <x v="8"/>
    <x v="0"/>
    <n v="258"/>
    <n v="0"/>
    <s v="OSMANOVIC, EDIS"/>
  </r>
  <r>
    <x v="7"/>
    <s v="LIFT VAN"/>
    <n v="12"/>
    <s v="910"/>
    <n v="0.5"/>
    <n v="9.9830000000000005"/>
    <n v="9.4830000000000005"/>
    <n v="122.086"/>
    <x v="8"/>
    <x v="0"/>
    <n v="258"/>
    <n v="2.8"/>
    <s v="OSMANOVIC, EDIS"/>
  </r>
  <r>
    <x v="8"/>
    <s v="LIFT VAN"/>
    <n v="13"/>
    <s v="910"/>
    <n v="0.5"/>
    <n v="10.15"/>
    <n v="9.65"/>
    <n v="102.32299999999999"/>
    <x v="8"/>
    <x v="0"/>
    <n v="279.5"/>
    <n v="5.6"/>
    <s v="OSMANOVIC, EDIS"/>
  </r>
  <r>
    <x v="0"/>
    <s v="LIFT VAN"/>
    <n v="15"/>
    <s v="911"/>
    <n v="0.5"/>
    <n v="10.4"/>
    <n v="9.9"/>
    <n v="140.654"/>
    <x v="9"/>
    <x v="0"/>
    <n v="322.5"/>
    <n v="5.6"/>
    <s v="MUGENZI, INNOCENT"/>
  </r>
  <r>
    <x v="1"/>
    <s v="LIFT VAN"/>
    <n v="13"/>
    <s v="911"/>
    <n v="0.5"/>
    <n v="10.417"/>
    <n v="9.9169999999999998"/>
    <n v="98.076999999999998"/>
    <x v="9"/>
    <x v="0"/>
    <n v="279.5"/>
    <n v="8.4"/>
    <s v="MUGENZI, INNOCENT"/>
  </r>
  <r>
    <x v="2"/>
    <s v="LIFT VAN"/>
    <n v="18"/>
    <s v="911"/>
    <n v="0.5"/>
    <n v="10.516999999999999"/>
    <n v="10.016999999999999"/>
    <n v="117.212"/>
    <x v="9"/>
    <x v="0"/>
    <n v="387"/>
    <n v="11.2"/>
    <s v="MUGENZI, INNOCENT"/>
  </r>
  <r>
    <x v="3"/>
    <s v="LIFT VAN"/>
    <n v="16"/>
    <s v="911"/>
    <n v="0.5"/>
    <n v="10.45"/>
    <n v="9.9499999999999993"/>
    <n v="132.077"/>
    <x v="9"/>
    <x v="0"/>
    <n v="344"/>
    <n v="0"/>
    <s v="MUGENZI, INNOCENT"/>
  </r>
  <r>
    <x v="4"/>
    <s v="LIFT VAN"/>
    <n v="12"/>
    <s v="911"/>
    <n v="0.5"/>
    <n v="10.45"/>
    <n v="9.9499999999999993"/>
    <n v="137.53"/>
    <x v="9"/>
    <x v="0"/>
    <n v="258"/>
    <n v="5.6"/>
    <s v="MUGENZI, INNOCENT"/>
  </r>
  <r>
    <x v="5"/>
    <s v="LIFT VAN"/>
    <n v="12"/>
    <s v="911"/>
    <n v="0.5"/>
    <n v="10.417"/>
    <n v="9.9169999999999998"/>
    <n v="118.005"/>
    <x v="9"/>
    <x v="0"/>
    <n v="258"/>
    <n v="5.6"/>
    <s v="MUGENZI, INNOCENT"/>
  </r>
  <r>
    <x v="6"/>
    <s v="LIFT VAN"/>
    <n v="12"/>
    <s v="911"/>
    <n v="0.5"/>
    <n v="10.617000000000001"/>
    <n v="10.117000000000001"/>
    <n v="117.643"/>
    <x v="9"/>
    <x v="0"/>
    <n v="258"/>
    <n v="2.8"/>
    <s v="MUGENZI, INNOCENT"/>
  </r>
  <r>
    <x v="7"/>
    <s v="LIFT VAN"/>
    <n v="8"/>
    <s v="911"/>
    <n v="0.5"/>
    <n v="10.067"/>
    <n v="9.5670000000000002"/>
    <n v="110.379"/>
    <x v="9"/>
    <x v="0"/>
    <n v="172"/>
    <n v="5.6"/>
    <s v="MUGENZI, INNOCENT"/>
  </r>
  <r>
    <x v="8"/>
    <s v="LIFT VAN"/>
    <n v="12"/>
    <s v="911"/>
    <n v="0.5"/>
    <n v="10.067"/>
    <n v="9.5670000000000002"/>
    <n v="133.56399999999999"/>
    <x v="9"/>
    <x v="0"/>
    <n v="258"/>
    <n v="2.8"/>
    <s v="MUGENZI, INNOCENT"/>
  </r>
  <r>
    <x v="0"/>
    <s v="LIFT VAN"/>
    <n v="11"/>
    <s v="913"/>
    <n v="0.5"/>
    <n v="10.417"/>
    <n v="9.9169999999999998"/>
    <n v="134.453"/>
    <x v="10"/>
    <x v="0"/>
    <n v="236.5"/>
    <n v="0"/>
    <s v="ROBY, ARVIN"/>
  </r>
  <r>
    <x v="1"/>
    <s v="LIFT VAN"/>
    <n v="14"/>
    <s v="913"/>
    <n v="0.5"/>
    <n v="11.1"/>
    <n v="10.6"/>
    <n v="139.94200000000001"/>
    <x v="10"/>
    <x v="0"/>
    <n v="301"/>
    <n v="0"/>
    <s v="ROBY, ARVIN"/>
  </r>
  <r>
    <x v="2"/>
    <s v="LIFT VAN"/>
    <n v="12"/>
    <s v="913"/>
    <n v="0.5"/>
    <n v="10.45"/>
    <n v="9.9499999999999993"/>
    <n v="96.42"/>
    <x v="10"/>
    <x v="0"/>
    <n v="258"/>
    <n v="2.8"/>
    <s v="ROBY, ARVIN"/>
  </r>
  <r>
    <x v="3"/>
    <s v="LIFT VAN"/>
    <n v="10"/>
    <s v="913"/>
    <n v="0.5"/>
    <n v="9.7330000000000005"/>
    <n v="9.2330000000000005"/>
    <n v="86.468999999999994"/>
    <x v="10"/>
    <x v="0"/>
    <n v="215"/>
    <n v="5.6"/>
    <s v="ROBY, ARVIN"/>
  </r>
  <r>
    <x v="4"/>
    <s v="LIFT VAN"/>
    <n v="16"/>
    <s v="913"/>
    <n v="0.5"/>
    <n v="11.183"/>
    <n v="10.683"/>
    <n v="146.435"/>
    <x v="10"/>
    <x v="0"/>
    <n v="344"/>
    <n v="5.6"/>
    <s v="ROBY, ARVIN"/>
  </r>
  <r>
    <x v="5"/>
    <s v="LIFT VAN"/>
    <n v="15"/>
    <s v="913"/>
    <n v="0.5"/>
    <n v="10.683"/>
    <n v="10.183"/>
    <n v="106.307"/>
    <x v="10"/>
    <x v="0"/>
    <n v="322.5"/>
    <n v="2.8"/>
    <s v="ROBY, ARVIN"/>
  </r>
  <r>
    <x v="6"/>
    <s v="LIFT VAN"/>
    <n v="7"/>
    <s v="913"/>
    <n v="0.5"/>
    <n v="9.3829999999999991"/>
    <n v="8.8829999999999991"/>
    <n v="78.972999999999999"/>
    <x v="10"/>
    <x v="0"/>
    <n v="150.5"/>
    <n v="0"/>
    <s v="ROBY, ARVIN"/>
  </r>
  <r>
    <x v="7"/>
    <s v="LIFT VAN"/>
    <n v="0"/>
    <s v="913"/>
    <n v="0"/>
    <n v="0"/>
    <n v="0"/>
    <n v="0"/>
    <x v="10"/>
    <x v="0"/>
    <n v="0"/>
    <n v="0"/>
    <s v="ROBY, ARVIN"/>
  </r>
  <r>
    <x v="8"/>
    <s v="LIFT VAN"/>
    <n v="13"/>
    <s v="913"/>
    <n v="0.5"/>
    <n v="10.083"/>
    <n v="9.5830000000000002"/>
    <n v="89.525000000000006"/>
    <x v="10"/>
    <x v="0"/>
    <n v="279.5"/>
    <n v="0"/>
    <s v="ROBY, ARVI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910"/>
    <s v="Cash"/>
    <x v="0"/>
    <n v="5.6"/>
    <x v="0"/>
  </r>
  <r>
    <x v="0"/>
    <s v="911"/>
    <s v="Cash"/>
    <x v="1"/>
    <n v="5.6"/>
    <x v="1"/>
  </r>
  <r>
    <x v="1"/>
    <s v="911"/>
    <s v="Cash"/>
    <x v="1"/>
    <n v="8.3999999999999986"/>
    <x v="1"/>
  </r>
  <r>
    <x v="2"/>
    <s v="911"/>
    <s v="Cash"/>
    <x v="1"/>
    <n v="11.2"/>
    <x v="1"/>
  </r>
  <r>
    <x v="0"/>
    <s v="901"/>
    <s v="Cash"/>
    <x v="2"/>
    <n v="2.8"/>
    <x v="2"/>
  </r>
  <r>
    <x v="1"/>
    <s v="901"/>
    <s v="Cash"/>
    <x v="2"/>
    <n v="5.6"/>
    <x v="2"/>
  </r>
  <r>
    <x v="2"/>
    <s v="901"/>
    <s v="Cash"/>
    <x v="2"/>
    <n v="5.6"/>
    <x v="2"/>
  </r>
  <r>
    <x v="3"/>
    <s v="901"/>
    <s v="Cash"/>
    <x v="2"/>
    <n v="14"/>
    <x v="2"/>
  </r>
  <r>
    <x v="0"/>
    <s v="902"/>
    <s v="Cash"/>
    <x v="3"/>
    <n v="2.8"/>
    <x v="3"/>
  </r>
  <r>
    <x v="1"/>
    <s v="902"/>
    <s v="Cash"/>
    <x v="3"/>
    <n v="2.8"/>
    <x v="3"/>
  </r>
  <r>
    <x v="2"/>
    <s v="902"/>
    <s v="Cash"/>
    <x v="3"/>
    <n v="2.8"/>
    <x v="3"/>
  </r>
  <r>
    <x v="1"/>
    <s v="908"/>
    <s v="Cash"/>
    <x v="4"/>
    <n v="2.8"/>
    <x v="4"/>
  </r>
  <r>
    <x v="1"/>
    <s v="906"/>
    <s v="Cash"/>
    <x v="5"/>
    <n v="5.6"/>
    <x v="5"/>
  </r>
  <r>
    <x v="2"/>
    <s v="906"/>
    <s v="Cash"/>
    <x v="5"/>
    <n v="5.6"/>
    <x v="5"/>
  </r>
  <r>
    <x v="3"/>
    <s v="906"/>
    <s v="Cash"/>
    <x v="5"/>
    <n v="14"/>
    <x v="5"/>
  </r>
  <r>
    <x v="2"/>
    <s v="913"/>
    <s v="Cash"/>
    <x v="6"/>
    <n v="2.8"/>
    <x v="6"/>
  </r>
  <r>
    <x v="3"/>
    <s v="913"/>
    <s v="Cash"/>
    <x v="6"/>
    <n v="5.6"/>
    <x v="6"/>
  </r>
  <r>
    <x v="2"/>
    <s v="909"/>
    <s v="Cash"/>
    <x v="7"/>
    <n v="2.8"/>
    <x v="7"/>
  </r>
  <r>
    <x v="3"/>
    <s v="909"/>
    <s v="Cash"/>
    <x v="7"/>
    <n v="2.8"/>
    <x v="7"/>
  </r>
  <r>
    <x v="3"/>
    <s v="902"/>
    <s v="Cash"/>
    <x v="3"/>
    <n v="2.8"/>
    <x v="3"/>
  </r>
  <r>
    <x v="4"/>
    <s v="901"/>
    <s v="Cash"/>
    <x v="2"/>
    <n v="5.6"/>
    <x v="2"/>
  </r>
  <r>
    <x v="4"/>
    <s v="910"/>
    <s v="Cash"/>
    <x v="0"/>
    <n v="2.8"/>
    <x v="0"/>
  </r>
  <r>
    <x v="4"/>
    <s v="911"/>
    <s v="Cash"/>
    <x v="1"/>
    <n v="5.6"/>
    <x v="1"/>
  </r>
  <r>
    <x v="4"/>
    <s v="913"/>
    <s v="Cash"/>
    <x v="6"/>
    <n v="5.6"/>
    <x v="6"/>
  </r>
  <r>
    <x v="4"/>
    <s v="903"/>
    <s v="Cash"/>
    <x v="8"/>
    <n v="11.2"/>
    <x v="8"/>
  </r>
  <r>
    <x v="4"/>
    <s v="909"/>
    <s v="Cash"/>
    <x v="7"/>
    <n v="5.6"/>
    <x v="7"/>
  </r>
  <r>
    <x v="4"/>
    <s v="902"/>
    <s v="Cash"/>
    <x v="3"/>
    <n v="2.8"/>
    <x v="3"/>
  </r>
  <r>
    <x v="5"/>
    <s v="904"/>
    <s v="Cash"/>
    <x v="9"/>
    <n v="5.6"/>
    <x v="9"/>
  </r>
  <r>
    <x v="5"/>
    <s v="913"/>
    <s v="Cash"/>
    <x v="6"/>
    <n v="2.8"/>
    <x v="6"/>
  </r>
  <r>
    <x v="5"/>
    <s v="902"/>
    <s v="Cash"/>
    <x v="3"/>
    <n v="2.8"/>
    <x v="3"/>
  </r>
  <r>
    <x v="5"/>
    <s v="911"/>
    <s v="Cash"/>
    <x v="1"/>
    <n v="5.6"/>
    <x v="1"/>
  </r>
  <r>
    <x v="5"/>
    <s v="909"/>
    <s v="Cash"/>
    <x v="7"/>
    <n v="5.6"/>
    <x v="7"/>
  </r>
  <r>
    <x v="5"/>
    <s v="903"/>
    <s v="Cash"/>
    <x v="8"/>
    <n v="2.8"/>
    <x v="8"/>
  </r>
  <r>
    <x v="6"/>
    <s v="903"/>
    <s v="Cash"/>
    <x v="8"/>
    <n v="8.3999999999999986"/>
    <x v="8"/>
  </r>
  <r>
    <x v="6"/>
    <s v="904"/>
    <s v="Cash"/>
    <x v="9"/>
    <n v="8.3999999999999986"/>
    <x v="9"/>
  </r>
  <r>
    <x v="6"/>
    <s v="902"/>
    <s v="Cash"/>
    <x v="3"/>
    <n v="2.8"/>
    <x v="3"/>
  </r>
  <r>
    <x v="6"/>
    <s v="911"/>
    <s v="Cash"/>
    <x v="1"/>
    <n v="2.8"/>
    <x v="1"/>
  </r>
  <r>
    <x v="6"/>
    <s v="909"/>
    <s v="Cash"/>
    <x v="7"/>
    <n v="5.6"/>
    <x v="7"/>
  </r>
  <r>
    <x v="7"/>
    <s v="901"/>
    <s v="Cash"/>
    <x v="2"/>
    <n v="5.6"/>
    <x v="2"/>
  </r>
  <r>
    <x v="7"/>
    <s v="904"/>
    <s v="Cash"/>
    <x v="9"/>
    <n v="5.6"/>
    <x v="9"/>
  </r>
  <r>
    <x v="7"/>
    <s v="910"/>
    <s v="Cash"/>
    <x v="0"/>
    <n v="2.8"/>
    <x v="0"/>
  </r>
  <r>
    <x v="7"/>
    <s v="911"/>
    <s v="Cash"/>
    <x v="1"/>
    <n v="5.6"/>
    <x v="1"/>
  </r>
  <r>
    <x v="8"/>
    <s v="906"/>
    <s v="Cash"/>
    <x v="5"/>
    <n v="5.6"/>
    <x v="5"/>
  </r>
  <r>
    <x v="8"/>
    <s v="904"/>
    <s v="Cash"/>
    <x v="9"/>
    <n v="2.8"/>
    <x v="9"/>
  </r>
  <r>
    <x v="8"/>
    <s v="902"/>
    <s v="Cash"/>
    <x v="3"/>
    <n v="2.8"/>
    <x v="3"/>
  </r>
  <r>
    <x v="8"/>
    <s v="910"/>
    <s v="Cash"/>
    <x v="0"/>
    <n v="5.6"/>
    <x v="0"/>
  </r>
  <r>
    <x v="8"/>
    <s v="911"/>
    <s v="Cash"/>
    <x v="1"/>
    <n v="2.8"/>
    <x v="1"/>
  </r>
  <r>
    <x v="9"/>
    <s v="906"/>
    <s v="Cash"/>
    <x v="5"/>
    <n v="2.8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d v="2024-12-16T00:00:00"/>
    <x v="0"/>
    <n v="27"/>
    <n v="6.46"/>
    <n v="4.18"/>
    <n v="27.002799999999997"/>
    <n v="-2.7999999999970271E-3"/>
    <x v="0"/>
  </r>
  <r>
    <d v="2024-12-18T00:00:00"/>
    <x v="1"/>
    <n v="30.8"/>
    <n v="7.7"/>
    <n v="4"/>
    <n v="30.8"/>
    <n v="0"/>
    <x v="0"/>
  </r>
  <r>
    <d v="2024-12-20T00:00:00"/>
    <x v="1"/>
    <n v="31.16"/>
    <n v="8.51"/>
    <n v="3.66"/>
    <n v="31.146599999999999"/>
    <n v="1.3400000000000745E-2"/>
    <x v="0"/>
  </r>
  <r>
    <d v="2024-12-21T00:00:00"/>
    <x v="2"/>
    <n v="36.08"/>
    <n v="9.59"/>
    <n v="3.76"/>
    <n v="36.058399999999999"/>
    <n v="2.1599999999999397E-2"/>
    <x v="0"/>
  </r>
  <r>
    <d v="2024-12-22T00:00:00"/>
    <x v="2"/>
    <n v="37"/>
    <n v="9.84"/>
    <n v="3.76"/>
    <n v="36.998399999999997"/>
    <n v="1.6000000000033765E-3"/>
    <x v="0"/>
  </r>
  <r>
    <d v="2024-12-23T00:00:00"/>
    <x v="1"/>
    <n v="23.87"/>
    <n v="5.97"/>
    <n v="4"/>
    <n v="23.88"/>
    <n v="-9.9999999999980105E-3"/>
    <x v="0"/>
  </r>
  <r>
    <d v="2024-12-23T00:00:00"/>
    <x v="0"/>
    <n v="39"/>
    <n v="10.38"/>
    <n v="3.76"/>
    <n v="39.028800000000004"/>
    <n v="-2.8800000000003934E-2"/>
    <x v="0"/>
  </r>
  <r>
    <d v="2024-12-26T00:00:00"/>
    <x v="3"/>
    <n v="27.14"/>
    <n v="7.22"/>
    <n v="3.76"/>
    <n v="27.147199999999998"/>
    <n v="-7.1999999999974307E-3"/>
    <x v="0"/>
  </r>
  <r>
    <d v="2024-12-27T00:00:00"/>
    <x v="1"/>
    <n v="37"/>
    <n v="9.07"/>
    <n v="4.08"/>
    <n v="37.005600000000001"/>
    <n v="-5.6000000000011596E-3"/>
    <x v="0"/>
  </r>
  <r>
    <d v="2024-12-29T00:00:00"/>
    <x v="2"/>
    <n v="24.01"/>
    <n v="6.49"/>
    <n v="3.7"/>
    <n v="24.013000000000002"/>
    <n v="-3.0000000000001137E-3"/>
    <x v="0"/>
  </r>
  <r>
    <d v="2024-12-29T00:00:00"/>
    <x v="0"/>
    <n v="39"/>
    <n v="9.56"/>
    <n v="4.08"/>
    <n v="39.004800000000003"/>
    <n v="-4.8000000000030241E-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36"/>
    <n v="38.46"/>
    <n v="36"/>
    <n v="1"/>
    <n v="760.5"/>
    <n v="234"/>
    <n v="0"/>
    <n v="0"/>
    <n v="0.9375"/>
    <n v="6.6666666666666693E-2"/>
    <n v="0"/>
    <n v="0"/>
    <n v="0.24414976599064001"/>
    <n v="58.5"/>
    <n v="25"/>
    <n v="0"/>
    <n v="0"/>
    <n v="1078"/>
    <n v="36"/>
    <n v="234"/>
    <n v="0"/>
    <n v="0"/>
    <n v="1"/>
    <n v="0"/>
    <n v="0"/>
    <n v="0"/>
    <d v="2024-12-16T00:00:00"/>
    <x v="0"/>
    <n v="0"/>
    <n v="10"/>
    <n v="38.81"/>
    <n v="0.35"/>
    <n v="10"/>
    <n v="0"/>
    <n v="9.39"/>
    <n v="29.07"/>
    <n v="11.72"/>
    <n v="3.2"/>
    <n v="0.26"/>
    <n v="15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153.53"/>
  </r>
  <r>
    <x v="0"/>
    <n v="48"/>
    <n v="49.86"/>
    <n v="48"/>
    <n v="1"/>
    <n v="1014"/>
    <n v="312"/>
    <n v="0"/>
    <n v="0"/>
    <n v="1"/>
    <n v="0.133333333333333"/>
    <n v="0"/>
    <n v="0"/>
    <n v="0.15784195748094701"/>
    <n v="78"/>
    <n v="33.979999999999997"/>
    <n v="0"/>
    <n v="0"/>
    <n v="1437.98"/>
    <n v="48"/>
    <n v="312"/>
    <n v="0"/>
    <n v="0"/>
    <n v="0"/>
    <n v="0"/>
    <n v="0"/>
    <n v="0"/>
    <d v="2024-12-16T00:00:00"/>
    <x v="1"/>
    <n v="0"/>
    <n v="13"/>
    <n v="49.96"/>
    <n v="0.1"/>
    <n v="13"/>
    <n v="0"/>
    <n v="7.87"/>
    <n v="41.99"/>
    <n v="3.41"/>
    <n v="0.63"/>
    <n v="0.26"/>
    <n v="15"/>
    <n v="0"/>
    <n v="2"/>
    <n v="0"/>
    <n v="0.1"/>
    <n v="0.05"/>
    <n v="0"/>
    <n v="32.5"/>
    <n v="0"/>
    <n v="0.65"/>
    <n v="0.98"/>
    <n v="0.96"/>
    <n v="0.9"/>
    <n v="0.2"/>
    <n v="0.1"/>
    <n v="0.05"/>
    <n v="0.05"/>
    <n v="48"/>
    <n v="0"/>
    <n v="48"/>
    <n v="146.93"/>
  </r>
  <r>
    <x v="0"/>
    <n v="36"/>
    <n v="37.03"/>
    <n v="36"/>
    <n v="1"/>
    <n v="760.5"/>
    <n v="234"/>
    <n v="0"/>
    <n v="0"/>
    <n v="1"/>
    <n v="0"/>
    <n v="117"/>
    <n v="0"/>
    <n v="0.201188225762895"/>
    <n v="58.5"/>
    <n v="24"/>
    <n v="0"/>
    <n v="0"/>
    <n v="1194"/>
    <n v="36"/>
    <n v="234"/>
    <n v="36"/>
    <n v="0"/>
    <n v="0"/>
    <n v="117"/>
    <n v="0"/>
    <n v="0"/>
    <d v="2024-12-16T00:00:00"/>
    <x v="2"/>
    <n v="0"/>
    <n v="13"/>
    <n v="37.03"/>
    <n v="0"/>
    <n v="13"/>
    <n v="0"/>
    <n v="7.45"/>
    <n v="29.58"/>
    <n v="1.26"/>
    <n v="1.05"/>
    <n v="0.35"/>
    <n v="14"/>
    <n v="0"/>
    <n v="0"/>
    <n v="37.03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28.1"/>
  </r>
  <r>
    <x v="0"/>
    <n v="48"/>
    <n v="50.1"/>
    <n v="48"/>
    <n v="1"/>
    <n v="1014"/>
    <n v="312"/>
    <n v="0"/>
    <n v="0"/>
    <n v="1"/>
    <n v="0"/>
    <n v="156"/>
    <n v="0"/>
    <n v="0.24750499001995999"/>
    <n v="78"/>
    <n v="14"/>
    <n v="0"/>
    <n v="0"/>
    <n v="1574"/>
    <n v="48"/>
    <n v="312"/>
    <n v="48"/>
    <n v="0"/>
    <n v="0"/>
    <n v="156"/>
    <n v="0"/>
    <n v="0"/>
    <d v="2024-12-16T00:00:00"/>
    <x v="3"/>
    <n v="0"/>
    <n v="16"/>
    <n v="50.15"/>
    <n v="0.05"/>
    <n v="16"/>
    <n v="0"/>
    <n v="12.4"/>
    <n v="37.700000000000003"/>
    <n v="45.87"/>
    <n v="12.4"/>
    <n v="0.32"/>
    <n v="18"/>
    <n v="0"/>
    <n v="0"/>
    <n v="50.1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77.79"/>
  </r>
  <r>
    <x v="1"/>
    <n v="36"/>
    <n v="32.57"/>
    <n v="32.57"/>
    <n v="0.90472222222222198"/>
    <n v="688.0412"/>
    <n v="0"/>
    <n v="0"/>
    <n v="52.926250000000003"/>
    <n v="1"/>
    <n v="0"/>
    <n v="105.85250000000001"/>
    <n v="0"/>
    <n v="9.2416334049738993E-2"/>
    <n v="52.926200000000001"/>
    <n v="5"/>
    <n v="0"/>
    <n v="0"/>
    <n v="904.74620000000004"/>
    <n v="36"/>
    <n v="52.926200000000001"/>
    <n v="32.57"/>
    <n v="0"/>
    <n v="0"/>
    <n v="105.85250000000001"/>
    <n v="0"/>
    <n v="0"/>
    <d v="2024-12-23T00:00:00"/>
    <x v="0"/>
    <n v="0"/>
    <n v="4"/>
    <n v="32.92"/>
    <n v="0.35"/>
    <n v="4"/>
    <n v="0"/>
    <n v="3.01"/>
    <n v="29.56"/>
    <n v="11.7"/>
    <n v="1.65"/>
    <n v="0.12"/>
    <n v="5"/>
    <n v="0"/>
    <n v="0"/>
    <n v="32.5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52.11"/>
  </r>
  <r>
    <x v="1"/>
    <n v="39"/>
    <n v="39.090000000000003"/>
    <n v="39"/>
    <n v="1"/>
    <n v="823.875"/>
    <n v="253.5"/>
    <n v="0"/>
    <n v="0"/>
    <n v="1"/>
    <n v="8.3333333333333301E-2"/>
    <n v="0"/>
    <n v="0"/>
    <n v="0.13916602711691001"/>
    <n v="63.375"/>
    <n v="20.39"/>
    <n v="0"/>
    <n v="0"/>
    <n v="1161.1400000000001"/>
    <n v="39"/>
    <n v="253.5"/>
    <n v="0"/>
    <n v="0"/>
    <n v="0"/>
    <n v="0"/>
    <n v="0"/>
    <n v="0"/>
    <d v="2024-12-23T00:00:00"/>
    <x v="1"/>
    <n v="0"/>
    <n v="8"/>
    <n v="39.090000000000003"/>
    <n v="0"/>
    <n v="8"/>
    <n v="0"/>
    <n v="5.44"/>
    <n v="33.65"/>
    <n v="4.03"/>
    <n v="0.05"/>
    <n v="0.2"/>
    <n v="12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9"/>
    <n v="0"/>
    <n v="39"/>
    <n v="108.48"/>
  </r>
  <r>
    <x v="1"/>
    <n v="36"/>
    <n v="37.159999999999997"/>
    <n v="36"/>
    <n v="1"/>
    <n v="760.5"/>
    <n v="234"/>
    <n v="0"/>
    <n v="0"/>
    <n v="1"/>
    <n v="0"/>
    <n v="117"/>
    <n v="0"/>
    <n v="0.277448869752422"/>
    <n v="58.5"/>
    <n v="44.66"/>
    <n v="0"/>
    <n v="0"/>
    <n v="1214.6600000000001"/>
    <n v="36"/>
    <n v="234"/>
    <n v="36"/>
    <n v="0"/>
    <n v="0"/>
    <n v="117"/>
    <n v="0"/>
    <n v="0"/>
    <d v="2024-12-23T00:00:00"/>
    <x v="2"/>
    <n v="0"/>
    <n v="13"/>
    <n v="37.159999999999997"/>
    <n v="0"/>
    <n v="13"/>
    <n v="0"/>
    <n v="10.31"/>
    <n v="26.85"/>
    <n v="1.23"/>
    <n v="0"/>
    <n v="0.35"/>
    <n v="16"/>
    <n v="0"/>
    <n v="0"/>
    <n v="37.15999999999999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43.88"/>
  </r>
  <r>
    <x v="1"/>
    <n v="48"/>
    <n v="53.34"/>
    <n v="48"/>
    <n v="1"/>
    <n v="1014"/>
    <n v="312"/>
    <n v="0"/>
    <n v="0"/>
    <n v="1"/>
    <n v="0"/>
    <n v="156"/>
    <n v="0"/>
    <n v="0.19553805774278199"/>
    <n v="78"/>
    <n v="37"/>
    <n v="0"/>
    <n v="0"/>
    <n v="1597"/>
    <n v="48"/>
    <n v="312"/>
    <n v="48"/>
    <n v="0"/>
    <n v="0"/>
    <n v="156"/>
    <n v="0"/>
    <n v="0"/>
    <d v="2024-12-23T00:00:00"/>
    <x v="3"/>
    <n v="0"/>
    <n v="13"/>
    <n v="53.39"/>
    <n v="0.05"/>
    <n v="13"/>
    <n v="0"/>
    <n v="10.43"/>
    <n v="42.91"/>
    <n v="44.96"/>
    <n v="10.43"/>
    <n v="0.24"/>
    <n v="15"/>
    <n v="0"/>
    <n v="0"/>
    <n v="53.34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d v="2024-12-16T00:00:00"/>
    <m/>
    <n v="0"/>
    <x v="0"/>
    <n v="0"/>
    <n v="0"/>
    <n v="0"/>
    <x v="0"/>
    <m/>
    <n v="0"/>
    <m/>
    <n v="0"/>
  </r>
  <r>
    <d v="2024-12-16T00:00:00"/>
    <s v="LIFT VAN"/>
    <n v="18"/>
    <x v="1"/>
    <n v="0.5"/>
    <n v="10.33"/>
    <n v="97"/>
    <x v="1"/>
    <n v="21.5"/>
    <n v="9.83"/>
    <n v="211.345"/>
    <n v="0"/>
  </r>
  <r>
    <d v="2024-12-16T00:00:00"/>
    <s v="LIFT VAN"/>
    <n v="0"/>
    <x v="2"/>
    <n v="0"/>
    <n v="0"/>
    <n v="0"/>
    <x v="2"/>
    <n v="21.5"/>
    <n v="0"/>
    <n v="0"/>
    <n v="0"/>
  </r>
  <r>
    <d v="2024-12-16T00:00:00"/>
    <s v="LIFT VAN"/>
    <n v="10"/>
    <x v="3"/>
    <n v="0.5"/>
    <n v="9.68"/>
    <n v="75.52"/>
    <x v="3"/>
    <n v="21.5"/>
    <n v="9.18"/>
    <n v="197.37"/>
    <n v="0"/>
  </r>
  <r>
    <d v="2024-12-16T00:00:00"/>
    <s v="LIFT VAN"/>
    <n v="13"/>
    <x v="4"/>
    <n v="0.5"/>
    <n v="10.32"/>
    <n v="113.07"/>
    <x v="4"/>
    <n v="21.5"/>
    <n v="9.82"/>
    <n v="211.13"/>
    <n v="0"/>
  </r>
  <r>
    <d v="2024-12-16T00:00:00"/>
    <s v="LIFT VAN"/>
    <n v="15"/>
    <x v="5"/>
    <n v="0.5"/>
    <n v="10.4"/>
    <n v="140.65"/>
    <x v="5"/>
    <n v="21.5"/>
    <n v="9.9"/>
    <n v="212.85"/>
    <n v="0"/>
  </r>
  <r>
    <d v="2024-12-16T00:00:00"/>
    <s v="LIFT VAN"/>
    <n v="15"/>
    <x v="6"/>
    <n v="0.5"/>
    <n v="10.7"/>
    <n v="149.02000000000001"/>
    <x v="6"/>
    <n v="21.5"/>
    <n v="10.199999999999999"/>
    <n v="219.3"/>
    <n v="0"/>
  </r>
  <r>
    <d v="2024-12-16T00:00:00"/>
    <s v="LIFT VAN"/>
    <n v="15"/>
    <x v="7"/>
    <n v="0.5"/>
    <n v="10.32"/>
    <n v="95.61"/>
    <x v="7"/>
    <n v="21.5"/>
    <n v="9.82"/>
    <n v="211.13"/>
    <n v="0"/>
  </r>
  <r>
    <d v="2024-12-16T00:00:00"/>
    <s v="LIFT VAN"/>
    <n v="13"/>
    <x v="8"/>
    <n v="0.5"/>
    <n v="12.12"/>
    <n v="111.53"/>
    <x v="8"/>
    <n v="21.5"/>
    <n v="11.62"/>
    <n v="249.83"/>
    <n v="0"/>
  </r>
  <r>
    <d v="2024-12-16T00:00:00"/>
    <s v="LIFT VAN"/>
    <n v="11"/>
    <x v="9"/>
    <n v="0.5"/>
    <n v="10.42"/>
    <n v="134.44999999999999"/>
    <x v="9"/>
    <n v="21.5"/>
    <n v="9.92"/>
    <n v="213.28"/>
    <n v="0"/>
  </r>
  <r>
    <d v="2024-12-16T00:00:00"/>
    <s v="LIFT VAN"/>
    <n v="10"/>
    <x v="10"/>
    <n v="0.5"/>
    <n v="10.93"/>
    <n v="114.38"/>
    <x v="10"/>
    <n v="21.5"/>
    <n v="10.43"/>
    <n v="224.245"/>
    <n v="0"/>
  </r>
  <r>
    <d v="2024-12-16T00:00:00"/>
    <s v="LIFT VAN"/>
    <n v="12"/>
    <x v="11"/>
    <n v="0.5"/>
    <n v="11.12"/>
    <n v="103.59"/>
    <x v="11"/>
    <n v="21.5"/>
    <n v="10.62"/>
    <n v="228.33"/>
    <n v="0"/>
  </r>
  <r>
    <d v="2024-12-17T00:00:00"/>
    <m/>
    <n v="0"/>
    <x v="12"/>
    <n v="0"/>
    <n v="0"/>
    <n v="0"/>
    <x v="0"/>
    <m/>
    <n v="0"/>
    <m/>
    <n v="0"/>
  </r>
  <r>
    <d v="2024-12-17T00:00:00"/>
    <m/>
    <n v="0"/>
    <x v="0"/>
    <n v="0"/>
    <n v="0"/>
    <n v="0"/>
    <x v="0"/>
    <m/>
    <n v="0"/>
    <m/>
    <n v="0"/>
  </r>
  <r>
    <d v="2024-12-17T00:00:00"/>
    <s v="LIFT VAN"/>
    <n v="14"/>
    <x v="1"/>
    <n v="0.5"/>
    <n v="9.8800000000000008"/>
    <n v="126.34"/>
    <x v="1"/>
    <n v="21.5"/>
    <n v="9.3800000000000008"/>
    <n v="201.67"/>
    <n v="0"/>
  </r>
  <r>
    <d v="2024-12-17T00:00:00"/>
    <s v="LIFT VAN"/>
    <n v="0"/>
    <x v="2"/>
    <n v="0"/>
    <n v="0"/>
    <n v="0"/>
    <x v="2"/>
    <n v="21.5"/>
    <n v="0"/>
    <n v="0"/>
    <n v="0"/>
  </r>
  <r>
    <d v="2024-12-17T00:00:00"/>
    <s v="LIFT VAN"/>
    <n v="9"/>
    <x v="3"/>
    <n v="0.5"/>
    <n v="10.08"/>
    <n v="99.39"/>
    <x v="3"/>
    <n v="21.5"/>
    <n v="9.58"/>
    <n v="205.97"/>
    <n v="0"/>
  </r>
  <r>
    <d v="2024-12-17T00:00:00"/>
    <s v="LIFT VAN"/>
    <n v="13"/>
    <x v="4"/>
    <n v="0.5"/>
    <n v="10.220000000000001"/>
    <n v="144.03"/>
    <x v="4"/>
    <n v="21.5"/>
    <n v="9.7200000000000006"/>
    <n v="208.98"/>
    <n v="0"/>
  </r>
  <r>
    <d v="2024-12-17T00:00:00"/>
    <s v="LIFT VAN"/>
    <n v="13"/>
    <x v="5"/>
    <n v="0.5"/>
    <n v="10.42"/>
    <n v="98.08"/>
    <x v="5"/>
    <n v="21.5"/>
    <n v="9.92"/>
    <n v="213.28"/>
    <n v="0"/>
  </r>
  <r>
    <d v="2024-12-17T00:00:00"/>
    <s v="LIFT VAN"/>
    <n v="12"/>
    <x v="6"/>
    <n v="0.5"/>
    <n v="10.45"/>
    <n v="134.75"/>
    <x v="6"/>
    <n v="21.5"/>
    <n v="9.9499999999999993"/>
    <n v="213.92500000000001"/>
    <n v="0"/>
  </r>
  <r>
    <d v="2024-12-17T00:00:00"/>
    <s v="LIFT VAN"/>
    <n v="14"/>
    <x v="7"/>
    <n v="0.5"/>
    <n v="9.9499999999999993"/>
    <n v="114.23"/>
    <x v="7"/>
    <n v="21.5"/>
    <n v="9.4499999999999993"/>
    <n v="203.17500000000001"/>
    <n v="0"/>
  </r>
  <r>
    <d v="2024-12-17T00:00:00"/>
    <s v="LIFT VAN"/>
    <n v="10"/>
    <x v="8"/>
    <n v="0.5"/>
    <n v="10.27"/>
    <n v="119.91"/>
    <x v="8"/>
    <n v="21.5"/>
    <n v="9.77"/>
    <n v="210.05500000000001"/>
    <n v="0"/>
  </r>
  <r>
    <d v="2024-12-17T00:00:00"/>
    <s v="LIFT VAN"/>
    <n v="14"/>
    <x v="9"/>
    <n v="0.5"/>
    <n v="11.1"/>
    <n v="139.94"/>
    <x v="9"/>
    <n v="21.5"/>
    <n v="10.6"/>
    <n v="227.9"/>
    <n v="0"/>
  </r>
  <r>
    <d v="2024-12-17T00:00:00"/>
    <s v="LIFT VAN"/>
    <n v="13"/>
    <x v="10"/>
    <n v="0.5"/>
    <n v="11.88"/>
    <n v="114.94"/>
    <x v="10"/>
    <n v="21.5"/>
    <n v="11.38"/>
    <n v="244.67"/>
    <n v="0"/>
  </r>
  <r>
    <d v="2024-12-17T00:00:00"/>
    <s v="LIFT VAN"/>
    <n v="4"/>
    <x v="11"/>
    <n v="0"/>
    <n v="3.62"/>
    <n v="36.53"/>
    <x v="11"/>
    <n v="21.5"/>
    <n v="3.62"/>
    <n v="77.83"/>
    <n v="0"/>
  </r>
  <r>
    <d v="2024-12-18T00:00:00"/>
    <m/>
    <n v="0"/>
    <x v="12"/>
    <n v="0"/>
    <n v="0"/>
    <n v="0"/>
    <x v="0"/>
    <m/>
    <n v="0"/>
    <m/>
    <n v="0"/>
  </r>
  <r>
    <d v="2024-12-18T00:00:00"/>
    <m/>
    <n v="0"/>
    <x v="0"/>
    <n v="0"/>
    <n v="0"/>
    <n v="0"/>
    <x v="0"/>
    <m/>
    <n v="0"/>
    <m/>
    <n v="0"/>
  </r>
  <r>
    <d v="2024-12-18T00:00:00"/>
    <s v="LIFT VAN"/>
    <n v="13"/>
    <x v="1"/>
    <n v="0.5"/>
    <n v="9.9"/>
    <n v="109.31"/>
    <x v="1"/>
    <n v="21.5"/>
    <n v="9.4"/>
    <n v="202.1"/>
    <n v="0"/>
  </r>
  <r>
    <d v="2024-12-18T00:00:00"/>
    <s v="LIFT VAN"/>
    <n v="0"/>
    <x v="2"/>
    <n v="0"/>
    <n v="0"/>
    <n v="0"/>
    <x v="2"/>
    <n v="21.5"/>
    <n v="0"/>
    <n v="0"/>
    <n v="0"/>
  </r>
  <r>
    <d v="2024-12-18T00:00:00"/>
    <s v="LIFT VAN"/>
    <n v="12"/>
    <x v="3"/>
    <n v="0.5"/>
    <n v="11.27"/>
    <n v="132.69999999999999"/>
    <x v="3"/>
    <n v="21.5"/>
    <n v="10.77"/>
    <n v="231.55500000000001"/>
    <n v="0"/>
  </r>
  <r>
    <d v="2024-12-18T00:00:00"/>
    <s v="LIFT VAN"/>
    <n v="19"/>
    <x v="4"/>
    <n v="0.5"/>
    <n v="10.7"/>
    <n v="117.98"/>
    <x v="4"/>
    <n v="21.5"/>
    <n v="10.199999999999999"/>
    <n v="219.3"/>
    <n v="0"/>
  </r>
  <r>
    <d v="2024-12-18T00:00:00"/>
    <s v="LIFT VAN"/>
    <n v="18"/>
    <x v="5"/>
    <n v="0.5"/>
    <n v="10.52"/>
    <n v="117.21"/>
    <x v="5"/>
    <n v="21.5"/>
    <n v="10.02"/>
    <n v="215.43"/>
    <n v="0"/>
  </r>
  <r>
    <d v="2024-12-18T00:00:00"/>
    <s v="LIFT VAN"/>
    <n v="15"/>
    <x v="6"/>
    <n v="0.5"/>
    <n v="10.130000000000001"/>
    <n v="113.29"/>
    <x v="6"/>
    <n v="21.5"/>
    <n v="9.6300000000000008"/>
    <n v="207.04499999999999"/>
    <n v="0"/>
  </r>
  <r>
    <d v="2024-12-18T00:00:00"/>
    <s v="LIFT VAN"/>
    <n v="14"/>
    <x v="7"/>
    <n v="0.5"/>
    <n v="11.87"/>
    <n v="112.97"/>
    <x v="7"/>
    <n v="21.5"/>
    <n v="11.37"/>
    <n v="244.45500000000001"/>
    <n v="0"/>
  </r>
  <r>
    <d v="2024-12-18T00:00:00"/>
    <s v="LIFT VAN"/>
    <n v="16"/>
    <x v="8"/>
    <n v="0.5"/>
    <n v="10.6"/>
    <n v="142.97999999999999"/>
    <x v="8"/>
    <n v="21.5"/>
    <n v="10.1"/>
    <n v="217.15"/>
    <n v="0"/>
  </r>
  <r>
    <d v="2024-12-18T00:00:00"/>
    <s v="LIFT VAN"/>
    <n v="12"/>
    <x v="9"/>
    <n v="0.5"/>
    <n v="10.45"/>
    <n v="96.42"/>
    <x v="9"/>
    <n v="21.5"/>
    <n v="9.9499999999999993"/>
    <n v="213.92500000000001"/>
    <n v="0"/>
  </r>
  <r>
    <d v="2024-12-18T00:00:00"/>
    <s v="LIFT VAN"/>
    <n v="14"/>
    <x v="10"/>
    <n v="0.43"/>
    <n v="11.05"/>
    <n v="131.13"/>
    <x v="10"/>
    <n v="21.5"/>
    <n v="10.620000000000001"/>
    <n v="228.33"/>
    <n v="0"/>
  </r>
  <r>
    <d v="2024-12-18T00:00:00"/>
    <s v="LIFT VAN"/>
    <n v="0"/>
    <x v="11"/>
    <n v="0"/>
    <n v="0"/>
    <n v="0"/>
    <x v="11"/>
    <n v="21.5"/>
    <n v="0"/>
    <n v="0"/>
    <n v="0"/>
  </r>
  <r>
    <d v="2024-12-19T00:00:00"/>
    <m/>
    <n v="0"/>
    <x v="12"/>
    <n v="0"/>
    <n v="0"/>
    <n v="0"/>
    <x v="0"/>
    <m/>
    <n v="0"/>
    <m/>
    <n v="0"/>
  </r>
  <r>
    <d v="2024-12-19T00:00:00"/>
    <m/>
    <n v="0"/>
    <x v="0"/>
    <n v="0"/>
    <n v="0"/>
    <n v="0"/>
    <x v="0"/>
    <m/>
    <n v="0"/>
    <m/>
    <n v="0"/>
  </r>
  <r>
    <d v="2024-12-19T00:00:00"/>
    <s v="LIFT VAN"/>
    <n v="12"/>
    <x v="1"/>
    <n v="0.5"/>
    <n v="10.32"/>
    <n v="125.36"/>
    <x v="1"/>
    <n v="21.5"/>
    <n v="9.82"/>
    <n v="211.13"/>
    <n v="0"/>
  </r>
  <r>
    <d v="2024-12-19T00:00:00"/>
    <s v="LIFT VAN"/>
    <n v="0"/>
    <x v="2"/>
    <n v="0"/>
    <n v="0"/>
    <n v="0"/>
    <x v="2"/>
    <n v="21.5"/>
    <n v="0"/>
    <n v="0"/>
    <n v="0"/>
  </r>
  <r>
    <d v="2024-12-19T00:00:00"/>
    <s v="LIFT VAN"/>
    <n v="14"/>
    <x v="3"/>
    <n v="0.5"/>
    <n v="11.62"/>
    <n v="125.22"/>
    <x v="3"/>
    <n v="21.5"/>
    <n v="11.12"/>
    <n v="239.08"/>
    <n v="0"/>
  </r>
  <r>
    <d v="2024-12-19T00:00:00"/>
    <s v="LIFT VAN"/>
    <n v="15"/>
    <x v="4"/>
    <n v="0.5"/>
    <n v="9.48"/>
    <n v="121.57"/>
    <x v="4"/>
    <n v="21.5"/>
    <n v="8.98"/>
    <n v="193.07"/>
    <n v="0"/>
  </r>
  <r>
    <d v="2024-12-19T00:00:00"/>
    <s v="LIFT VAN"/>
    <n v="16"/>
    <x v="5"/>
    <n v="0.5"/>
    <n v="10.45"/>
    <n v="132.08000000000001"/>
    <x v="5"/>
    <n v="21.5"/>
    <n v="9.9499999999999993"/>
    <n v="213.92500000000001"/>
    <n v="0"/>
  </r>
  <r>
    <d v="2024-12-19T00:00:00"/>
    <s v="LIFT VAN"/>
    <n v="9"/>
    <x v="6"/>
    <n v="0.5"/>
    <n v="10.42"/>
    <n v="136.93"/>
    <x v="6"/>
    <n v="21.5"/>
    <n v="9.92"/>
    <n v="213.28"/>
    <n v="0"/>
  </r>
  <r>
    <d v="2024-12-19T00:00:00"/>
    <s v="LIFT VAN"/>
    <n v="14"/>
    <x v="7"/>
    <n v="0.5"/>
    <n v="11.12"/>
    <n v="105.98"/>
    <x v="7"/>
    <n v="21.5"/>
    <n v="10.62"/>
    <n v="228.33"/>
    <n v="0"/>
  </r>
  <r>
    <d v="2024-12-19T00:00:00"/>
    <s v="LIFT VAN"/>
    <n v="13"/>
    <x v="8"/>
    <n v="0.5"/>
    <n v="9.7200000000000006"/>
    <n v="129.52000000000001"/>
    <x v="8"/>
    <n v="21.5"/>
    <n v="9.2200000000000006"/>
    <n v="198.23"/>
    <n v="0"/>
  </r>
  <r>
    <d v="2024-12-19T00:00:00"/>
    <s v="LIFT VAN"/>
    <n v="10"/>
    <x v="9"/>
    <n v="0.5"/>
    <n v="9.73"/>
    <n v="86.47"/>
    <x v="9"/>
    <n v="21.5"/>
    <n v="9.23"/>
    <n v="198.44499999999999"/>
    <n v="0"/>
  </r>
  <r>
    <d v="2024-12-19T00:00:00"/>
    <s v="LIFT VAN"/>
    <n v="13"/>
    <x v="10"/>
    <n v="0.5"/>
    <n v="11.3"/>
    <n v="116.78"/>
    <x v="10"/>
    <n v="21.5"/>
    <n v="10.8"/>
    <n v="232.2"/>
    <n v="0"/>
  </r>
  <r>
    <d v="2024-12-19T00:00:00"/>
    <s v="LIFT VAN"/>
    <n v="0"/>
    <x v="11"/>
    <n v="0"/>
    <n v="0"/>
    <n v="0"/>
    <x v="11"/>
    <n v="21.5"/>
    <n v="0"/>
    <n v="0"/>
    <n v="0"/>
  </r>
  <r>
    <d v="2024-12-20T00:00:00"/>
    <m/>
    <n v="0"/>
    <x v="0"/>
    <n v="0"/>
    <n v="0"/>
    <n v="0"/>
    <x v="0"/>
    <m/>
    <n v="0"/>
    <m/>
    <n v="0"/>
  </r>
  <r>
    <d v="2024-12-20T00:00:00"/>
    <m/>
    <n v="0"/>
    <x v="12"/>
    <n v="0"/>
    <n v="0"/>
    <n v="0"/>
    <x v="0"/>
    <m/>
    <n v="0"/>
    <m/>
    <n v="0"/>
  </r>
  <r>
    <d v="2024-12-20T00:00:00"/>
    <s v="LIFT VAN"/>
    <n v="17"/>
    <x v="1"/>
    <n v="0.5"/>
    <n v="10.27"/>
    <n v="138.74"/>
    <x v="1"/>
    <n v="21.5"/>
    <n v="9.77"/>
    <n v="210.05500000000001"/>
    <n v="0"/>
  </r>
  <r>
    <d v="2024-12-20T00:00:00"/>
    <s v="LIFT VAN"/>
    <n v="0"/>
    <x v="2"/>
    <n v="0"/>
    <n v="0"/>
    <n v="0"/>
    <x v="2"/>
    <n v="21.5"/>
    <n v="0"/>
    <n v="0"/>
    <n v="0"/>
  </r>
  <r>
    <d v="2024-12-20T00:00:00"/>
    <s v="LIFT VAN"/>
    <n v="13"/>
    <x v="3"/>
    <n v="0.5"/>
    <n v="9.92"/>
    <n v="109.55"/>
    <x v="3"/>
    <n v="21.5"/>
    <n v="9.42"/>
    <n v="202.53"/>
    <n v="0"/>
  </r>
  <r>
    <d v="2024-12-20T00:00:00"/>
    <s v="LIFT VAN"/>
    <n v="13"/>
    <x v="4"/>
    <n v="0.5"/>
    <n v="10.63"/>
    <n v="107.32"/>
    <x v="4"/>
    <n v="21.5"/>
    <n v="10.130000000000001"/>
    <n v="217.79499999999999"/>
    <n v="0"/>
  </r>
  <r>
    <d v="2024-12-20T00:00:00"/>
    <s v="LIFT VAN"/>
    <n v="12"/>
    <x v="5"/>
    <n v="0.5"/>
    <n v="10.45"/>
    <n v="137.53"/>
    <x v="5"/>
    <n v="21.5"/>
    <n v="9.9499999999999993"/>
    <n v="213.92500000000001"/>
    <n v="0"/>
  </r>
  <r>
    <d v="2024-12-20T00:00:00"/>
    <s v="LIFT VAN"/>
    <n v="14"/>
    <x v="6"/>
    <n v="0.5"/>
    <n v="10.52"/>
    <n v="156.65"/>
    <x v="6"/>
    <n v="21.5"/>
    <n v="10.02"/>
    <n v="215.43"/>
    <n v="0"/>
  </r>
  <r>
    <d v="2024-12-20T00:00:00"/>
    <s v="LIFT VAN"/>
    <n v="14"/>
    <x v="7"/>
    <n v="0.5"/>
    <n v="10.65"/>
    <n v="121.63"/>
    <x v="7"/>
    <n v="21.5"/>
    <n v="10.15"/>
    <n v="218.22499999999999"/>
    <n v="0"/>
  </r>
  <r>
    <d v="2024-12-20T00:00:00"/>
    <s v="LIFT VAN"/>
    <n v="12"/>
    <x v="8"/>
    <n v="0.5"/>
    <n v="9.7799999999999994"/>
    <n v="118.87"/>
    <x v="8"/>
    <n v="21.5"/>
    <n v="9.2799999999999994"/>
    <n v="199.52"/>
    <n v="0"/>
  </r>
  <r>
    <d v="2024-12-20T00:00:00"/>
    <s v="LIFT VAN"/>
    <n v="16"/>
    <x v="9"/>
    <n v="0.5"/>
    <n v="11.18"/>
    <n v="146.44"/>
    <x v="9"/>
    <n v="21.5"/>
    <n v="10.68"/>
    <n v="229.62"/>
    <n v="0"/>
  </r>
  <r>
    <d v="2024-12-20T00:00:00"/>
    <s v="LIFT VAN"/>
    <n v="13"/>
    <x v="10"/>
    <n v="0.5"/>
    <n v="10"/>
    <n v="98.58"/>
    <x v="10"/>
    <n v="21.5"/>
    <n v="9.5"/>
    <n v="204.25"/>
    <n v="0"/>
  </r>
  <r>
    <d v="2024-12-20T00:00:00"/>
    <s v="LIFT VAN"/>
    <n v="0"/>
    <x v="11"/>
    <n v="0"/>
    <n v="0"/>
    <n v="0"/>
    <x v="11"/>
    <n v="21.5"/>
    <n v="0"/>
    <n v="0"/>
    <n v="0"/>
  </r>
  <r>
    <d v="2024-12-21T00:00:00"/>
    <m/>
    <n v="0"/>
    <x v="12"/>
    <n v="0"/>
    <n v="0"/>
    <n v="0"/>
    <x v="0"/>
    <m/>
    <n v="0"/>
    <m/>
    <n v="0"/>
  </r>
  <r>
    <d v="2024-12-23T00:00:00"/>
    <m/>
    <n v="0"/>
    <x v="0"/>
    <n v="0"/>
    <n v="0"/>
    <n v="0"/>
    <x v="0"/>
    <m/>
    <n v="0"/>
    <m/>
    <n v="0"/>
  </r>
  <r>
    <d v="2024-12-23T00:00:00"/>
    <s v="LIFT VAN"/>
    <n v="13"/>
    <x v="1"/>
    <n v="0.5"/>
    <n v="10.25"/>
    <n v="63.57"/>
    <x v="1"/>
    <n v="21.5"/>
    <n v="9.75"/>
    <n v="209.625"/>
    <n v="0"/>
  </r>
  <r>
    <d v="2024-12-23T00:00:00"/>
    <s v="LIFT VAN"/>
    <n v="0"/>
    <x v="2"/>
    <n v="0"/>
    <n v="0"/>
    <n v="0"/>
    <x v="2"/>
    <n v="21.5"/>
    <n v="0"/>
    <n v="0"/>
    <n v="0"/>
  </r>
  <r>
    <d v="2024-12-23T00:00:00"/>
    <s v="LIFT VAN"/>
    <n v="13"/>
    <x v="3"/>
    <n v="0.5"/>
    <n v="10.6"/>
    <n v="115.34"/>
    <x v="3"/>
    <n v="21.5"/>
    <n v="10.1"/>
    <n v="217.15"/>
    <n v="0"/>
  </r>
  <r>
    <d v="2024-12-23T00:00:00"/>
    <s v="LIFT VAN"/>
    <n v="13"/>
    <x v="4"/>
    <n v="0.5"/>
    <n v="9.57"/>
    <n v="107.19"/>
    <x v="4"/>
    <n v="21.5"/>
    <n v="9.07"/>
    <n v="195.005"/>
    <n v="0"/>
  </r>
  <r>
    <d v="2024-12-23T00:00:00"/>
    <s v="LIFT VAN"/>
    <n v="12"/>
    <x v="5"/>
    <n v="0.5"/>
    <n v="10.42"/>
    <n v="118"/>
    <x v="5"/>
    <n v="21.5"/>
    <n v="9.92"/>
    <n v="213.28"/>
    <n v="0"/>
  </r>
  <r>
    <d v="2024-12-23T00:00:00"/>
    <s v="LIFT VAN"/>
    <n v="14"/>
    <x v="6"/>
    <n v="0.5"/>
    <n v="9.3699999999999992"/>
    <n v="91.65"/>
    <x v="6"/>
    <n v="21.5"/>
    <n v="8.8699999999999992"/>
    <n v="190.70500000000001"/>
    <n v="0"/>
  </r>
  <r>
    <d v="2024-12-23T00:00:00"/>
    <s v="LIFT VAN"/>
    <n v="14"/>
    <x v="7"/>
    <n v="0.5"/>
    <n v="10.220000000000001"/>
    <n v="121.84"/>
    <x v="7"/>
    <n v="21.5"/>
    <n v="9.7200000000000006"/>
    <n v="208.98"/>
    <n v="0"/>
  </r>
  <r>
    <d v="2024-12-23T00:00:00"/>
    <s v="LIFT VAN"/>
    <n v="13"/>
    <x v="8"/>
    <n v="0.5"/>
    <n v="10.4"/>
    <n v="139.68"/>
    <x v="8"/>
    <n v="21.5"/>
    <n v="9.9"/>
    <n v="212.85"/>
    <n v="0"/>
  </r>
  <r>
    <d v="2024-12-23T00:00:00"/>
    <s v="LIFT VAN"/>
    <n v="15"/>
    <x v="9"/>
    <n v="0.5"/>
    <n v="10.68"/>
    <n v="106.31"/>
    <x v="9"/>
    <n v="21.5"/>
    <n v="10.18"/>
    <n v="218.87"/>
    <n v="0"/>
  </r>
  <r>
    <d v="2024-12-23T00:00:00"/>
    <s v="LIFT VAN"/>
    <n v="15"/>
    <x v="10"/>
    <n v="0.5"/>
    <n v="10.82"/>
    <n v="120.33"/>
    <x v="10"/>
    <n v="21.5"/>
    <n v="10.32"/>
    <n v="221.88"/>
    <n v="0"/>
  </r>
  <r>
    <d v="2024-12-23T00:00:00"/>
    <s v="LIFT VAN"/>
    <n v="0"/>
    <x v="11"/>
    <n v="0"/>
    <n v="0"/>
    <n v="0"/>
    <x v="11"/>
    <n v="21.5"/>
    <n v="0"/>
    <n v="0"/>
    <n v="0"/>
  </r>
  <r>
    <d v="2024-12-24T00:00:00"/>
    <m/>
    <n v="0"/>
    <x v="12"/>
    <n v="0"/>
    <n v="0"/>
    <n v="0"/>
    <x v="0"/>
    <m/>
    <n v="0"/>
    <m/>
    <n v="0"/>
  </r>
  <r>
    <d v="2024-12-24T00:00:00"/>
    <m/>
    <n v="0"/>
    <x v="0"/>
    <n v="0"/>
    <n v="0"/>
    <n v="0"/>
    <x v="0"/>
    <m/>
    <n v="0"/>
    <m/>
    <n v="0"/>
  </r>
  <r>
    <d v="2024-12-24T00:00:00"/>
    <s v="LIFT VAN"/>
    <n v="11"/>
    <x v="1"/>
    <n v="0.5"/>
    <n v="10.23"/>
    <n v="136.59"/>
    <x v="1"/>
    <n v="21.5"/>
    <n v="9.73"/>
    <n v="209.19499999999999"/>
    <n v="0"/>
  </r>
  <r>
    <d v="2024-12-24T00:00:00"/>
    <s v="LIFT VAN"/>
    <n v="0"/>
    <x v="2"/>
    <n v="0"/>
    <n v="0"/>
    <n v="0"/>
    <x v="2"/>
    <n v="21.5"/>
    <n v="0"/>
    <n v="0"/>
    <n v="0"/>
  </r>
  <r>
    <d v="2024-12-24T00:00:00"/>
    <s v="LIFT VAN"/>
    <n v="10"/>
    <x v="3"/>
    <n v="0.5"/>
    <n v="9.9499999999999993"/>
    <n v="147.31"/>
    <x v="3"/>
    <n v="21.5"/>
    <n v="9.4499999999999993"/>
    <n v="203.17500000000001"/>
    <n v="0"/>
  </r>
  <r>
    <d v="2024-12-24T00:00:00"/>
    <s v="LIFT VAN"/>
    <n v="14"/>
    <x v="4"/>
    <n v="0.5"/>
    <n v="10.3"/>
    <n v="121.6"/>
    <x v="4"/>
    <n v="21.5"/>
    <n v="9.8000000000000007"/>
    <n v="210.7"/>
    <n v="0"/>
  </r>
  <r>
    <d v="2024-12-24T00:00:00"/>
    <s v="LIFT VAN"/>
    <n v="12"/>
    <x v="5"/>
    <n v="0.5"/>
    <n v="10.62"/>
    <n v="117.64"/>
    <x v="5"/>
    <n v="21.5"/>
    <n v="10.119999999999999"/>
    <n v="217.58"/>
    <n v="0"/>
  </r>
  <r>
    <d v="2024-12-24T00:00:00"/>
    <s v="LIFT VAN"/>
    <n v="14"/>
    <x v="6"/>
    <n v="0.5"/>
    <n v="10.75"/>
    <n v="111"/>
    <x v="6"/>
    <n v="21.5"/>
    <n v="10.25"/>
    <n v="220.375"/>
    <n v="0"/>
  </r>
  <r>
    <d v="2024-12-24T00:00:00"/>
    <s v="LIFT VAN"/>
    <n v="10"/>
    <x v="7"/>
    <n v="0.5"/>
    <n v="10.18"/>
    <n v="120.35"/>
    <x v="7"/>
    <n v="21.5"/>
    <n v="9.68"/>
    <n v="208.12"/>
    <n v="0"/>
  </r>
  <r>
    <d v="2024-12-24T00:00:00"/>
    <s v="LIFT VAN"/>
    <n v="12"/>
    <x v="8"/>
    <n v="0.5"/>
    <n v="9.98"/>
    <n v="110.31"/>
    <x v="8"/>
    <n v="21.5"/>
    <n v="9.48"/>
    <n v="203.82"/>
    <n v="0"/>
  </r>
  <r>
    <d v="2024-12-24T00:00:00"/>
    <s v="LIFT VAN"/>
    <n v="7"/>
    <x v="9"/>
    <n v="0.5"/>
    <n v="9.3800000000000008"/>
    <n v="78.97"/>
    <x v="9"/>
    <n v="21.5"/>
    <n v="8.8800000000000008"/>
    <n v="190.92"/>
    <n v="0"/>
  </r>
  <r>
    <d v="2024-12-24T00:00:00"/>
    <s v="LIFT VAN"/>
    <n v="11"/>
    <x v="10"/>
    <n v="0.5"/>
    <n v="10.72"/>
    <n v="105.8"/>
    <x v="10"/>
    <n v="21.5"/>
    <n v="10.220000000000001"/>
    <n v="219.73"/>
    <n v="0"/>
  </r>
  <r>
    <d v="2024-12-24T00:00:00"/>
    <s v="LIFT VAN"/>
    <n v="0"/>
    <x v="11"/>
    <n v="0"/>
    <n v="0"/>
    <n v="0"/>
    <x v="11"/>
    <n v="21.5"/>
    <n v="0"/>
    <n v="0"/>
    <n v="0"/>
  </r>
  <r>
    <d v="2024-12-26T00:00:00"/>
    <m/>
    <n v="0"/>
    <x v="12"/>
    <n v="0"/>
    <n v="0"/>
    <n v="0"/>
    <x v="0"/>
    <m/>
    <n v="0"/>
    <m/>
    <n v="0"/>
  </r>
  <r>
    <d v="2024-12-26T00:00:00"/>
    <m/>
    <n v="0"/>
    <x v="0"/>
    <n v="0"/>
    <n v="0"/>
    <n v="0"/>
    <x v="0"/>
    <m/>
    <n v="0"/>
    <m/>
    <n v="0"/>
  </r>
  <r>
    <d v="2024-12-26T00:00:00"/>
    <s v="LIFT VAN"/>
    <n v="0"/>
    <x v="1"/>
    <n v="0"/>
    <n v="0"/>
    <n v="0"/>
    <x v="1"/>
    <n v="21.5"/>
    <n v="0"/>
    <n v="0"/>
    <n v="0"/>
  </r>
  <r>
    <d v="2024-12-26T00:00:00"/>
    <s v="LIFT VAN"/>
    <n v="0"/>
    <x v="2"/>
    <n v="0"/>
    <n v="0"/>
    <n v="0"/>
    <x v="2"/>
    <n v="21.5"/>
    <n v="0"/>
    <n v="0"/>
    <n v="0"/>
  </r>
  <r>
    <d v="2024-12-26T00:00:00"/>
    <s v="LIFT VAN"/>
    <n v="10"/>
    <x v="3"/>
    <n v="0.5"/>
    <n v="10.32"/>
    <n v="95.18"/>
    <x v="3"/>
    <n v="21.5"/>
    <n v="9.82"/>
    <n v="211.13"/>
    <n v="0"/>
  </r>
  <r>
    <d v="2024-12-26T00:00:00"/>
    <s v="LIFT VAN"/>
    <n v="12"/>
    <x v="4"/>
    <n v="0.5"/>
    <n v="10.47"/>
    <n v="126"/>
    <x v="4"/>
    <n v="21.5"/>
    <n v="9.9700000000000006"/>
    <n v="214.35499999999999"/>
    <n v="0"/>
  </r>
  <r>
    <d v="2024-12-26T00:00:00"/>
    <s v="LIFT VAN"/>
    <n v="8"/>
    <x v="5"/>
    <n v="0.5"/>
    <n v="10.07"/>
    <n v="110.38"/>
    <x v="5"/>
    <n v="21.5"/>
    <n v="9.57"/>
    <n v="205.755"/>
    <n v="0"/>
  </r>
  <r>
    <d v="2024-12-26T00:00:00"/>
    <s v="LIFT VAN"/>
    <n v="12"/>
    <x v="6"/>
    <n v="0.5"/>
    <n v="10.25"/>
    <n v="145.66"/>
    <x v="6"/>
    <n v="21.5"/>
    <n v="9.75"/>
    <n v="209.625"/>
    <n v="0"/>
  </r>
  <r>
    <d v="2024-12-26T00:00:00"/>
    <s v="LIFT VAN"/>
    <n v="9"/>
    <x v="7"/>
    <n v="0.5"/>
    <n v="8.35"/>
    <n v="90.77"/>
    <x v="7"/>
    <n v="21.5"/>
    <n v="7.85"/>
    <n v="168.77500000000001"/>
    <n v="0"/>
  </r>
  <r>
    <d v="2024-12-26T00:00:00"/>
    <s v="LIFT VAN"/>
    <n v="12"/>
    <x v="8"/>
    <n v="0.5"/>
    <n v="9.98"/>
    <n v="122.09"/>
    <x v="8"/>
    <n v="21.5"/>
    <n v="9.48"/>
    <n v="203.82"/>
    <n v="0"/>
  </r>
  <r>
    <d v="2024-12-26T00:00:00"/>
    <s v="LIFT VAN"/>
    <n v="0"/>
    <x v="9"/>
    <n v="0"/>
    <n v="0"/>
    <n v="0"/>
    <x v="9"/>
    <n v="21.5"/>
    <n v="0"/>
    <n v="0"/>
    <n v="0"/>
  </r>
  <r>
    <d v="2024-12-26T00:00:00"/>
    <s v="LIFT VAN"/>
    <n v="9"/>
    <x v="10"/>
    <n v="0.5"/>
    <n v="9.5500000000000007"/>
    <n v="70.13"/>
    <x v="10"/>
    <n v="21.5"/>
    <n v="9.0500000000000007"/>
    <n v="194.57499999999999"/>
    <n v="0"/>
  </r>
  <r>
    <d v="2024-12-26T00:00:00"/>
    <s v="LIFT VAN"/>
    <n v="0"/>
    <x v="11"/>
    <n v="0"/>
    <n v="0"/>
    <n v="0"/>
    <x v="11"/>
    <n v="21.5"/>
    <n v="0"/>
    <n v="0"/>
    <n v="0"/>
  </r>
  <r>
    <d v="2024-12-27T00:00:00"/>
    <m/>
    <n v="0"/>
    <x v="12"/>
    <n v="0"/>
    <n v="0"/>
    <n v="0"/>
    <x v="0"/>
    <m/>
    <n v="0"/>
    <m/>
    <n v="0"/>
  </r>
  <r>
    <d v="2024-12-27T00:00:00"/>
    <m/>
    <n v="0"/>
    <x v="0"/>
    <n v="0"/>
    <n v="0"/>
    <n v="0"/>
    <x v="0"/>
    <m/>
    <n v="0"/>
    <m/>
    <n v="0"/>
  </r>
  <r>
    <d v="2024-12-27T00:00:00"/>
    <s v="LIFT VAN"/>
    <n v="0"/>
    <x v="1"/>
    <n v="0"/>
    <n v="0"/>
    <n v="0"/>
    <x v="1"/>
    <n v="21.5"/>
    <n v="0"/>
    <n v="0"/>
    <n v="0"/>
  </r>
  <r>
    <d v="2024-12-27T00:00:00"/>
    <s v="LIFT VAN"/>
    <n v="0"/>
    <x v="2"/>
    <n v="0"/>
    <n v="0"/>
    <n v="0"/>
    <x v="2"/>
    <n v="21.5"/>
    <n v="0"/>
    <n v="0"/>
    <n v="0"/>
  </r>
  <r>
    <d v="2024-12-27T00:00:00"/>
    <s v="LIFT VAN"/>
    <n v="0"/>
    <x v="3"/>
    <n v="0"/>
    <n v="0"/>
    <n v="0"/>
    <x v="3"/>
    <n v="21.5"/>
    <n v="0"/>
    <n v="0"/>
    <n v="0"/>
  </r>
  <r>
    <d v="2024-12-27T00:00:00"/>
    <s v="LIFT VAN"/>
    <n v="14"/>
    <x v="4"/>
    <n v="0.5"/>
    <n v="9.7799999999999994"/>
    <n v="119"/>
    <x v="4"/>
    <n v="21.5"/>
    <n v="9.2799999999999994"/>
    <n v="199.52"/>
    <n v="0"/>
  </r>
  <r>
    <d v="2024-12-27T00:00:00"/>
    <s v="LIFT VAN"/>
    <n v="12"/>
    <x v="5"/>
    <n v="0.5"/>
    <n v="10.07"/>
    <n v="133.56"/>
    <x v="5"/>
    <n v="21.5"/>
    <n v="9.57"/>
    <n v="205.755"/>
    <n v="0"/>
  </r>
  <r>
    <d v="2024-12-27T00:00:00"/>
    <s v="LIFT VAN"/>
    <n v="13"/>
    <x v="6"/>
    <n v="0.5"/>
    <n v="10.6"/>
    <n v="113.78"/>
    <x v="6"/>
    <n v="21.5"/>
    <n v="10.1"/>
    <n v="217.15"/>
    <n v="0"/>
  </r>
  <r>
    <d v="2024-12-27T00:00:00"/>
    <s v="LIFT VAN"/>
    <n v="11"/>
    <x v="7"/>
    <n v="0.5"/>
    <n v="10.67"/>
    <n v="115.54"/>
    <x v="7"/>
    <n v="21.5"/>
    <n v="10.17"/>
    <n v="218.655"/>
    <n v="0"/>
  </r>
  <r>
    <d v="2024-12-27T00:00:00"/>
    <s v="LIFT VAN"/>
    <n v="13"/>
    <x v="8"/>
    <n v="0.5"/>
    <n v="10.15"/>
    <n v="102.32"/>
    <x v="8"/>
    <n v="21.5"/>
    <n v="9.65"/>
    <n v="207.47499999999999"/>
    <n v="0"/>
  </r>
  <r>
    <d v="2024-12-27T00:00:00"/>
    <s v="LIFT VAN"/>
    <n v="13"/>
    <x v="9"/>
    <n v="0.5"/>
    <n v="10.08"/>
    <n v="89.52"/>
    <x v="9"/>
    <n v="21.5"/>
    <n v="9.58"/>
    <n v="205.97"/>
    <n v="0"/>
  </r>
  <r>
    <d v="2024-12-27T00:00:00"/>
    <s v="LIFT VAN"/>
    <n v="13"/>
    <x v="10"/>
    <n v="0.5"/>
    <n v="10.52"/>
    <n v="103.23"/>
    <x v="10"/>
    <n v="21.5"/>
    <n v="10.02"/>
    <n v="215.43"/>
    <n v="0"/>
  </r>
  <r>
    <d v="2024-12-27T00:00:00"/>
    <s v="LIFT VAN"/>
    <n v="0"/>
    <x v="11"/>
    <n v="0"/>
    <n v="0"/>
    <n v="0"/>
    <x v="11"/>
    <n v="21.5"/>
    <n v="0"/>
    <n v="0"/>
    <n v="0"/>
  </r>
  <r>
    <d v="2024-12-28T00:00:00"/>
    <m/>
    <n v="0"/>
    <x v="12"/>
    <n v="0"/>
    <n v="0"/>
    <n v="0"/>
    <x v="0"/>
    <m/>
    <n v="0"/>
    <m/>
    <n v="0"/>
  </r>
  <r>
    <d v="2024-12-28T00:00:00"/>
    <s v="LIFT VAN"/>
    <n v="9"/>
    <x v="10"/>
    <n v="0"/>
    <n v="6.42"/>
    <n v="65.849999999999994"/>
    <x v="10"/>
    <n v="21.5"/>
    <n v="6.42"/>
    <n v="138.0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1"/>
        <item m="1" x="5"/>
        <item m="1" x="4"/>
        <item m="1" x="8"/>
        <item m="1" x="7"/>
        <item m="1" x="6"/>
        <item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2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4" firstHeaderRow="1" firstDataRow="1" firstDataCol="2"/>
  <pivotFields count="15">
    <pivotField compact="0" numFmtId="14" outline="0" showAll="0" defaultSubtotal="0">
      <items count="106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4">
        <item m="1" x="49"/>
        <item m="1" x="30"/>
        <item m="1" x="19"/>
        <item m="1" x="42"/>
        <item m="1" x="46"/>
        <item m="1" x="52"/>
        <item m="1" x="51"/>
        <item m="1" x="50"/>
        <item m="1" x="36"/>
        <item m="1" x="45"/>
        <item m="1" x="48"/>
        <item m="1" x="53"/>
        <item m="1" x="43"/>
        <item m="1" x="44"/>
        <item m="1" x="39"/>
        <item x="0"/>
        <item x="3"/>
        <item m="1" x="47"/>
        <item m="1" x="41"/>
        <item x="4"/>
        <item m="1" x="27"/>
        <item x="1"/>
        <item m="1" x="38"/>
        <item m="1" x="14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2"/>
        <item m="1" x="18"/>
        <item m="1" x="23"/>
        <item m="1" x="21"/>
        <item m="1" x="24"/>
        <item m="1" x="25"/>
        <item m="1" x="22"/>
        <item m="1" x="20"/>
        <item m="1" x="16"/>
        <item m="1" x="17"/>
        <item x="9"/>
        <item x="6"/>
        <item m="1" x="12"/>
        <item m="1" x="13"/>
        <item x="10"/>
        <item x="7"/>
        <item m="1" x="11"/>
        <item x="8"/>
        <item x="5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1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6"/>
      <x v="1"/>
    </i>
    <i>
      <x v="49"/>
      <x v="1"/>
    </i>
    <i>
      <x v="50"/>
      <x v="1"/>
    </i>
    <i>
      <x v="52"/>
      <x v="1"/>
    </i>
    <i>
      <x v="53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4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2"/>
        <item m="1" x="20"/>
        <item x="8"/>
        <item x="3"/>
        <item m="1" x="14"/>
        <item m="1" x="17"/>
        <item m="1" x="12"/>
        <item m="1" x="22"/>
        <item m="1" x="15"/>
        <item x="9"/>
        <item x="1"/>
        <item m="1" x="18"/>
        <item m="1" x="21"/>
        <item m="1" x="16"/>
        <item m="1" x="13"/>
        <item x="6"/>
        <item m="1" x="19"/>
        <item x="4"/>
        <item m="1" x="11"/>
        <item x="0"/>
        <item x="5"/>
        <item m="1" x="1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h="1" x="8"/>
        <item h="1" m="1" x="12"/>
        <item h="1" m="1" x="15"/>
        <item h="1" x="2"/>
        <item h="1" m="1" x="18"/>
        <item h="1" m="1" x="16"/>
        <item h="1" x="9"/>
        <item h="1" m="1" x="17"/>
        <item h="1" x="3"/>
        <item h="1" m="1" x="14"/>
        <item h="1" m="1" x="19"/>
        <item h="1" m="1" x="20"/>
        <item x="5"/>
        <item h="1" m="1" x="13"/>
        <item h="1" x="1"/>
        <item h="1" x="4"/>
        <item h="1" x="6"/>
        <item h="1" m="1" x="10"/>
        <item h="1" m="1" x="11"/>
        <item h="1" x="7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rowItems count="1">
    <i>
      <x v="12"/>
      <x v="2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7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1"/>
        <item x="6"/>
        <item x="2"/>
        <item x="10"/>
        <item x="0"/>
        <item x="11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8">
        <item m="1" x="63"/>
        <item m="1" x="57"/>
        <item m="1" x="60"/>
        <item m="1" x="55"/>
        <item m="1" x="65"/>
        <item x="0"/>
        <item m="1" x="64"/>
        <item m="1" x="66"/>
        <item m="1" x="61"/>
        <item m="1" x="67"/>
        <item m="1" x="56"/>
        <item m="1" x="19"/>
        <item m="1" x="58"/>
        <item m="1" x="48"/>
        <item m="1" x="52"/>
        <item m="1" x="51"/>
        <item m="1" x="62"/>
        <item m="1" x="36"/>
        <item m="1" x="30"/>
        <item m="1" x="59"/>
        <item m="1" x="42"/>
        <item m="1" x="50"/>
        <item m="1" x="54"/>
        <item m="1" x="53"/>
        <item m="1" x="49"/>
        <item m="1" x="46"/>
        <item m="1" x="45"/>
        <item m="1" x="43"/>
        <item m="1" x="44"/>
        <item m="1" x="39"/>
        <item x="4"/>
        <item x="6"/>
        <item m="1" x="47"/>
        <item m="1" x="41"/>
        <item x="2"/>
        <item m="1" x="27"/>
        <item x="7"/>
        <item m="1" x="38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1"/>
        <item m="1" x="18"/>
        <item m="1" x="22"/>
        <item m="1" x="20"/>
        <item m="1" x="25"/>
        <item m="1" x="24"/>
        <item m="1" x="21"/>
        <item m="1" x="23"/>
        <item m="1" x="17"/>
        <item x="5"/>
        <item m="1" x="16"/>
        <item x="11"/>
        <item m="1" x="13"/>
        <item m="1" x="14"/>
        <item x="9"/>
        <item x="3"/>
        <item x="8"/>
        <item m="1" x="12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4">
    <i>
      <x v="18"/>
      <x v="30"/>
    </i>
    <i>
      <x v="19"/>
      <x v="36"/>
    </i>
    <i>
      <x v="20"/>
      <x v="49"/>
    </i>
    <i>
      <x v="21"/>
      <x v="31"/>
    </i>
    <i>
      <x v="22"/>
      <x v="34"/>
    </i>
    <i>
      <x v="23"/>
      <x v="67"/>
    </i>
    <i>
      <x v="24"/>
      <x v="5"/>
    </i>
    <i>
      <x v="25"/>
      <x v="60"/>
    </i>
    <i>
      <x v="26"/>
      <x v="64"/>
    </i>
    <i>
      <x v="27"/>
      <x v="65"/>
    </i>
    <i>
      <x v="28"/>
      <x v="58"/>
    </i>
    <i>
      <x v="29"/>
      <x v="5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1" firstHeaderRow="1" firstDataRow="1" firstDataCol="1" rowPageCount="1" colPageCount="1"/>
  <pivotFields count="8">
    <pivotField numFmtId="14" showAll="0"/>
    <pivotField axis="axisRow" showAll="0">
      <items count="10">
        <item x="1"/>
        <item x="0"/>
        <item x="2"/>
        <item m="1" x="4"/>
        <item m="1" x="8"/>
        <item m="1" x="7"/>
        <item m="1" x="5"/>
        <item m="1" x="6"/>
        <item x="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5">
        <item h="1" m="1" x="49"/>
        <item h="1" m="1" x="30"/>
        <item h="1" x="2"/>
        <item h="1" x="4"/>
        <item h="1" m="1" x="19"/>
        <item h="1" m="1" x="42"/>
        <item h="1" m="1" x="39"/>
        <item h="1" m="1" x="29"/>
        <item h="1" m="1" x="46"/>
        <item h="1" x="0"/>
        <item h="1" m="1" x="43"/>
        <item h="1" m="1" x="21"/>
        <item h="1" m="1" x="44"/>
        <item h="1" m="1" x="52"/>
        <item h="1" m="1" x="27"/>
        <item h="1" m="1" x="18"/>
        <item h="1" m="1" x="51"/>
        <item h="1" m="1" x="50"/>
        <item h="1" m="1" x="35"/>
        <item h="1" x="3"/>
        <item h="1" m="1" x="47"/>
        <item h="1" m="1" x="20"/>
        <item h="1" m="1" x="24"/>
        <item h="1" x="1"/>
        <item h="1" m="1" x="38"/>
        <item h="1" m="1" x="36"/>
        <item h="1" m="1" x="15"/>
        <item h="1" m="1" x="45"/>
        <item h="1" m="1" x="25"/>
        <item h="1" m="1" x="22"/>
        <item h="1" m="1" x="48"/>
        <item h="1" m="1" x="23"/>
        <item h="1" m="1" x="26"/>
        <item h="1" m="1" x="41"/>
        <item h="1" m="1" x="31"/>
        <item h="1" m="1" x="34"/>
        <item h="1" m="1" x="28"/>
        <item h="1" m="1" x="53"/>
        <item h="1" m="1" x="32"/>
        <item h="1" m="1" x="33"/>
        <item h="1" m="1" x="40"/>
        <item h="1" m="1" x="37"/>
        <item m="1" x="14"/>
        <item h="1" m="1" x="16"/>
        <item h="1" m="1" x="17"/>
        <item h="1" x="9"/>
        <item h="1" x="6"/>
        <item h="1" m="1" x="12"/>
        <item h="1" m="1" x="13"/>
        <item h="1" x="10"/>
        <item h="1" x="7"/>
        <item h="1" m="1" x="11"/>
        <item h="1" x="8"/>
        <item h="1" x="5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5" firstHeaderRow="1" firstDataRow="1" firstDataCol="1"/>
  <pivotFields count="6">
    <pivotField axis="axisRow" numFmtId="14" showAll="0">
      <items count="96"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1"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26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2">
    <i>
      <x v="12"/>
    </i>
    <i r="1">
      <x v="350"/>
    </i>
    <i r="2">
      <x v="96"/>
    </i>
    <i r="1">
      <x v="351"/>
    </i>
    <i r="2">
      <x v="97"/>
    </i>
    <i r="1">
      <x v="352"/>
    </i>
    <i r="2">
      <x v="98"/>
    </i>
    <i r="1">
      <x v="353"/>
    </i>
    <i r="2">
      <x v="99"/>
    </i>
    <i r="1">
      <x v="354"/>
    </i>
    <i r="2">
      <x v="100"/>
    </i>
    <i r="1">
      <x v="357"/>
    </i>
    <i r="2">
      <x v="101"/>
    </i>
    <i r="1">
      <x v="358"/>
    </i>
    <i r="2">
      <x v="102"/>
    </i>
    <i r="1">
      <x v="360"/>
    </i>
    <i r="2">
      <x v="103"/>
    </i>
    <i r="1">
      <x v="361"/>
    </i>
    <i r="2">
      <x v="104"/>
    </i>
    <i r="1">
      <x v="362"/>
    </i>
    <i r="2"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43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42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41" dataDxfId="40">
  <tableColumns count="4">
    <tableColumn id="1" xr3:uid="{65D91CD2-3C54-4C7C-B045-23E3B2F97FF9}" name="Week#" dataDxfId="39"/>
    <tableColumn id="2" xr3:uid="{5BA60E69-1019-4464-B0DD-BB7593E6EB87}" name="Start Date" dataDxfId="38"/>
    <tableColumn id="3" xr3:uid="{70E6C480-07D9-4FA0-9B37-E827515C7123}" name="End Date" dataDxfId="37"/>
    <tableColumn id="4" xr3:uid="{348E0BB4-8CE5-4F99-940E-0CDD9ADA275C}" name="Fare Rate" dataDxfId="3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35" tableBorderDxfId="34">
  <autoFilter ref="A10:F12" xr:uid="{0D3B0F79-8DB5-469D-9A33-E9592B69BABD}"/>
  <tableColumns count="6">
    <tableColumn id="1" xr3:uid="{B4A0C383-C3F2-4289-B7CA-97EAE9349B85}" name="Week#" dataDxfId="33"/>
    <tableColumn id="2" xr3:uid="{B46BF04D-8CCF-4A2A-9036-4DB33BEC23C3}" name="Start Date"/>
    <tableColumn id="3" xr3:uid="{B37B7E48-EE8D-4742-B72B-59AD6FA2ECEE}" name="End Date" dataDxfId="32"/>
    <tableColumn id="4" xr3:uid="{1AB4FAF4-3A4A-49C8-BF7A-F7331376F165}" name="Utilization Target" dataDxfId="31" dataCellStyle="Percent"/>
    <tableColumn id="5" xr3:uid="{97C0D190-D492-45A3-8720-91D7706EC5E2}" name="Tier 1 ARDCRI Rate" dataDxfId="30" dataCellStyle="Percent"/>
    <tableColumn id="6" xr3:uid="{3D22D4BF-F4D1-4E40-95E7-622EF54D0E3B}" name="Tier 2 ARDCRI Rate" dataDxfId="29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28"/>
    <tableColumn id="2" xr3:uid="{3285CB39-62E9-48B2-8652-994586D31FD1}" uniqueName="2" name="OPERATOR NAME" queryTableFieldId="2" dataDxfId="27"/>
    <tableColumn id="3" xr3:uid="{257F3514-E992-4E7D-8A69-76A582CD6374}" uniqueName="3" name="CLIENT TYPE" queryTableFieldId="3" dataDxfId="26"/>
    <tableColumn id="4" xr3:uid="{A22EC115-0365-4896-BA44-5F46750FA42F}" uniqueName="4" name="VEHICLE TYPE" queryTableFieldId="4" dataDxfId="25"/>
    <tableColumn id="5" xr3:uid="{05FAA200-15AA-40B4-A4FA-CD0289298183}" uniqueName="5" name="EMAIL" queryTableFieldId="5" dataDxfId="24"/>
    <tableColumn id="6" xr3:uid="{A8DDBACF-D2D9-4018-8344-79F85F392E17}" uniqueName="6" name="FILE #" queryTableFieldId="6"/>
    <tableColumn id="7" xr3:uid="{97D0C30F-8936-48C8-8A56-6157E836A67E}" uniqueName="7" name="CLIENT TYPE - Copy" queryTableFieldId="7" dataDxfId="2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/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2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1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49" tableType="queryTable" totalsRowShown="0">
  <autoFilter ref="A1:F49" xr:uid="{112C7E80-6831-40A1-8A27-5CB48FB20E5A}"/>
  <tableColumns count="6">
    <tableColumn id="1" xr3:uid="{613E80BC-64ED-4114-8232-D1CB13FE8476}" uniqueName="1" name="Ride Date" queryTableFieldId="1" dataDxfId="20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01" tableType="queryTable" totalsRowShown="0">
  <autoFilter ref="A1:M101" xr:uid="{DF891105-8580-4EFA-A9B2-0A71E64FF9DF}"/>
  <sortState xmlns:xlrd2="http://schemas.microsoft.com/office/spreadsheetml/2017/richdata2" ref="A2:M101">
    <sortCondition ref="D1:D101"/>
  </sortState>
  <tableColumns count="13">
    <tableColumn id="27" xr3:uid="{7B8BE6CB-9406-485D-82FD-BEB592FC755F}" uniqueName="27" name="Date" queryTableFieldId="27" data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queryTableFieldId="56"/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18" tableType="queryTable" totalsRowShown="0">
  <autoFilter ref="A1:K18" xr:uid="{6349AC03-59FE-4C4F-AAAB-0D7195BA348F}"/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2" tableType="queryTable" totalsRowShown="0">
  <autoFilter ref="A1:C12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19" tableType="queryTable" totalsRowShown="0">
  <autoFilter ref="A1:J19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19" tableType="queryTable" totalsRowShown="0">
  <autoFilter ref="A1:L119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72" tableType="queryTable" totalsRowShown="0">
  <autoFilter ref="A1:H72" xr:uid="{CB64F0C5-46B3-491F-AF22-1124C6D61C2A}"/>
  <tableColumns count="8">
    <tableColumn id="1" xr3:uid="{0C79EDA7-45DA-4A1C-9D4F-B6A8CA03E7C3}" uniqueName="1" name="Date" queryTableFieldId="1" dataDxfId="2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2" tableType="queryTable" totalsRowShown="0">
  <autoFilter ref="A1:H12" xr:uid="{ED9108B5-830A-4338-A82C-165A1D530E3A}"/>
  <tableColumns count="8">
    <tableColumn id="1" xr3:uid="{C10E0954-FD5A-41B8-9201-AACF73271A66}" uniqueName="1" name="Date" queryTableFieldId="1" dataDxfId="1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01" tableType="queryTable" totalsRowShown="0">
  <autoFilter ref="A1:I101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5"/>
    </row>
    <row r="5" spans="1:10" ht="18.75" x14ac:dyDescent="0.3">
      <c r="A5" s="131" t="s">
        <v>10</v>
      </c>
      <c r="B5" s="131"/>
      <c r="C5" s="131"/>
      <c r="D5" s="131"/>
      <c r="E5" s="131"/>
      <c r="F5" s="131"/>
      <c r="G5" s="131"/>
      <c r="H5" s="131"/>
      <c r="I5" s="131"/>
      <c r="J5" s="13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D13" sqref="D13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7">
        <v>45642</v>
      </c>
      <c r="C2" s="127">
        <f>Table1[[#This Row],[Start Date]]+6</f>
        <v>45648</v>
      </c>
      <c r="D2" s="65">
        <v>2.8</v>
      </c>
    </row>
    <row r="3" spans="1:6" ht="23.25" x14ac:dyDescent="0.35">
      <c r="A3" s="65" t="s">
        <v>15</v>
      </c>
      <c r="B3" s="87">
        <v>45649</v>
      </c>
      <c r="C3" s="128">
        <f>Table1[[#This Row],[Start Date]]+6</f>
        <v>45655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1" t="s">
        <v>16</v>
      </c>
    </row>
    <row r="10" spans="1:6" ht="23.25" x14ac:dyDescent="0.35">
      <c r="A10" s="126" t="s">
        <v>11</v>
      </c>
      <c r="B10" s="126" t="s">
        <v>4</v>
      </c>
      <c r="C10" s="126" t="s">
        <v>12</v>
      </c>
      <c r="D10" s="132" t="s">
        <v>17</v>
      </c>
      <c r="E10" s="132" t="s">
        <v>18</v>
      </c>
      <c r="F10" s="132" t="s">
        <v>19</v>
      </c>
    </row>
    <row r="11" spans="1:6" ht="23.25" x14ac:dyDescent="0.35">
      <c r="A11" s="129" t="s">
        <v>14</v>
      </c>
      <c r="B11" s="127">
        <v>45642</v>
      </c>
      <c r="C11" s="127">
        <f>Table9[[#This Row],[Start Date]]+6</f>
        <v>45648</v>
      </c>
      <c r="D11" s="134">
        <v>0</v>
      </c>
      <c r="E11" s="134">
        <v>0.1</v>
      </c>
      <c r="F11" s="134">
        <v>0.05</v>
      </c>
    </row>
    <row r="12" spans="1:6" ht="23.25" x14ac:dyDescent="0.35">
      <c r="A12" s="130" t="s">
        <v>15</v>
      </c>
      <c r="B12" s="87">
        <v>45649</v>
      </c>
      <c r="C12" s="128">
        <f>Table9[[#This Row],[Start Date]]+6</f>
        <v>45655</v>
      </c>
      <c r="D12" s="134">
        <v>0</v>
      </c>
      <c r="E12" s="134">
        <v>0.1</v>
      </c>
      <c r="F12" s="134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A35" sqref="A35:N35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2.28515625" style="1" customWidth="1"/>
    <col min="4" max="4" width="15.28515625" style="164" customWidth="1"/>
    <col min="5" max="6" width="13.28515625" style="164" customWidth="1"/>
    <col min="7" max="7" width="17.28515625" style="164" bestFit="1" customWidth="1"/>
    <col min="8" max="8" width="13.7109375" style="164" bestFit="1" customWidth="1"/>
    <col min="9" max="9" width="13.42578125" style="164" bestFit="1" customWidth="1"/>
    <col min="10" max="10" width="14" style="164" bestFit="1" customWidth="1"/>
    <col min="11" max="11" width="13.28515625" style="164" bestFit="1" customWidth="1"/>
    <col min="12" max="12" width="15.85546875" style="164" bestFit="1" customWidth="1"/>
    <col min="13" max="13" width="23" style="164" bestFit="1" customWidth="1"/>
    <col min="14" max="14" width="12.42578125" style="164" bestFit="1" customWidth="1"/>
    <col min="15" max="16" width="4.5703125" style="1" bestFit="1" customWidth="1"/>
    <col min="17" max="16384" width="9.28515625" style="1"/>
  </cols>
  <sheetData>
    <row r="1" spans="1:17" ht="15.75" customHeight="1" x14ac:dyDescent="0.25">
      <c r="A1" s="67" t="s">
        <v>342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1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20</v>
      </c>
      <c r="K2" s="18"/>
      <c r="L2" s="18"/>
      <c r="M2" s="18"/>
      <c r="N2" s="101"/>
    </row>
    <row r="3" spans="1:17" ht="15.75" customHeight="1" x14ac:dyDescent="0.25">
      <c r="A3" s="67"/>
      <c r="B3" s="16"/>
      <c r="C3" s="16"/>
      <c r="D3" s="20" t="s">
        <v>21</v>
      </c>
      <c r="E3" s="20" t="s">
        <v>22</v>
      </c>
      <c r="F3" s="20"/>
      <c r="G3" s="20"/>
      <c r="H3" s="21"/>
      <c r="I3" s="1"/>
      <c r="J3" s="21"/>
      <c r="K3" s="21"/>
      <c r="L3" s="21"/>
      <c r="M3" s="21"/>
      <c r="N3" s="102" t="s">
        <v>23</v>
      </c>
    </row>
    <row r="4" spans="1:17" s="20" customFormat="1" ht="15.75" customHeight="1" thickBot="1" x14ac:dyDescent="0.3">
      <c r="A4" s="68" t="s">
        <v>0</v>
      </c>
      <c r="B4" s="22" t="s">
        <v>24</v>
      </c>
      <c r="C4" s="22" t="s">
        <v>25</v>
      </c>
      <c r="D4" s="22" t="s">
        <v>26</v>
      </c>
      <c r="E4" s="22" t="s">
        <v>27</v>
      </c>
      <c r="F4" s="22" t="s">
        <v>28</v>
      </c>
      <c r="G4" s="22" t="s">
        <v>29</v>
      </c>
      <c r="H4" s="22" t="s">
        <v>30</v>
      </c>
      <c r="I4" s="22" t="s">
        <v>31</v>
      </c>
      <c r="J4" s="22" t="s">
        <v>32</v>
      </c>
      <c r="K4" s="22" t="s">
        <v>33</v>
      </c>
      <c r="L4" s="22" t="s">
        <v>34</v>
      </c>
      <c r="M4" s="22" t="s">
        <v>35</v>
      </c>
      <c r="N4" s="103" t="s">
        <v>36</v>
      </c>
    </row>
    <row r="5" spans="1:17" s="20" customFormat="1" ht="23.45" customHeight="1" thickTop="1" x14ac:dyDescent="0.35">
      <c r="A5" s="195" t="s">
        <v>37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7" ht="15" customHeight="1" x14ac:dyDescent="0.25">
      <c r="A6" s="69" t="str" cm="1">
        <f t="array" ref="A6:C16">Div10PartnerDetails[]</f>
        <v>SUITE CHARRIOT MOBILITY LLC</v>
      </c>
      <c r="B6" s="23">
        <v>10029</v>
      </c>
      <c r="C6" s="10" t="str">
        <v>paulke27@gmail.com</v>
      </c>
      <c r="D6" s="165">
        <f>IFERROR(SUMIF(TrapezeReport[PARTNER NAME],A6,TrapezeReport[TTL Rev]),0)</f>
        <v>2580</v>
      </c>
      <c r="E6" s="166" cm="1">
        <f t="array" ref="E6">SUM(_xlfn._xlws.FILTER(Deductions[[Other Income ]],(Deductions[PARTNER]=A6)*(Deductions[Type]="TRANSDEV"),0))</f>
        <v>0</v>
      </c>
      <c r="F6" s="165" cm="1">
        <f t="array" ref="F6">SUM(_xlfn._xlws.FILTER(Deductions[Bonus],(Deductions[PARTNER]=A6)*(Deductions[Type]="TRANSDEV"),0))</f>
        <v>1000</v>
      </c>
      <c r="G6" s="166" cm="1">
        <f t="array" ref="G6">SUM(_xlfn._xlws.FILTER(Deductions[[Reimbursement ]],(Deductions[PARTNER]=A6)*(Deductions[Type]="TRANSDEV"),0))</f>
        <v>0</v>
      </c>
      <c r="H6" s="165" cm="1">
        <f t="array" ref="H6">SUM(_xlfn._xlws.FILTER(Deductions[Credentials],(Deductions[PARTNER]=A6)*(Deductions[Type]="TRANSDEV"),0))</f>
        <v>0</v>
      </c>
      <c r="I6" s="167" cm="1">
        <f t="array" ref="I6">SUM(_xlfn._xlws.FILTER(Deductions[LIFT LEASE TOTAL],(Deductions[PARTNER]=A6)*(Deductions[Type]="TRANSDEV"),0))</f>
        <v>370</v>
      </c>
      <c r="J6" s="165" cm="1">
        <f t="array" ref="J6">SUM(_xlfn._xlws.FILTER(Deductions[Violation],(Deductions[PARTNER]=A6)*(Deductions[Type]="TRANSDEV"),0))</f>
        <v>0</v>
      </c>
      <c r="K6" s="165">
        <f>SUMIF(TrapezeReport[PARTNER NAME],A6,TrapezeReport[Cash Fares Collected])</f>
        <v>33.599999999999994</v>
      </c>
      <c r="L6" s="165" cm="1">
        <f t="array" ref="L6">SUM(_xlfn._xlws.FILTER(Deductions[Other Deduction],(Deductions[PARTNER]=A6)*(Deductions[Type]="TRANSDEV"),0))</f>
        <v>0</v>
      </c>
      <c r="M6" s="165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139.21420000000001</v>
      </c>
      <c r="N6" s="168">
        <f>IFERROR(SUM(D6:G6)-SUM(H6:M6),0)</f>
        <v>3037.1858000000002</v>
      </c>
      <c r="Q6" s="193" t="s">
        <v>384</v>
      </c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5">
        <f>IFERROR(SUMIF(TrapezeReport[PARTNER NAME],A7,TrapezeReport[TTL Rev]),0)</f>
        <v>2709</v>
      </c>
      <c r="E7" s="166" cm="1">
        <f t="array" ref="E7">SUM(_xlfn._xlws.FILTER(Deductions[[Other Income ]],(Deductions[PARTNER]=A7)*(Deductions[Type]="TRANSDEV"),0))</f>
        <v>0</v>
      </c>
      <c r="F7" s="165" cm="1">
        <f t="array" ref="F7">SUM(_xlfn._xlws.FILTER(Deductions[Bonus],(Deductions[PARTNER]=A7)*(Deductions[Type]="TRANSDEV"),0))</f>
        <v>200</v>
      </c>
      <c r="G7" s="166" cm="1">
        <f t="array" ref="G7">SUM(_xlfn._xlws.FILTER(Deductions[[Reimbursement ]],(Deductions[PARTNER]=A7)*(Deductions[Type]="TRANSDEV"),0))</f>
        <v>0</v>
      </c>
      <c r="H7" s="165" cm="1">
        <f t="array" ref="H7">SUM(_xlfn._xlws.FILTER(Deductions[Credentials],(Deductions[PARTNER]=A7)*(Deductions[Type]="TRANSDEV"),0))</f>
        <v>0</v>
      </c>
      <c r="I7" s="167" cm="1">
        <f t="array" ref="I7">SUM(_xlfn._xlws.FILTER(Deductions[LIFT LEASE TOTAL],(Deductions[PARTNER]=A7)*(Deductions[Type]="TRANSDEV"),0))</f>
        <v>370</v>
      </c>
      <c r="J7" s="165" cm="1">
        <f t="array" ref="J7">SUM(_xlfn._xlws.FILTER(Deductions[Violation],(Deductions[PARTNER]=A7)*(Deductions[Type]="TRANSDEV"),0))</f>
        <v>0</v>
      </c>
      <c r="K7" s="165">
        <f>SUMIF(TrapezeReport[PARTNER NAME],A7,TrapezeReport[Cash Fares Collected])</f>
        <v>39.200000000000003</v>
      </c>
      <c r="L7" s="165" cm="1">
        <f t="array" ref="L7">SUM(_xlfn._xlws.FILTER(Deductions[Other Deduction],(Deductions[PARTNER]=A7)*(Deductions[Type]="TRANSDEV"),0))</f>
        <v>0</v>
      </c>
      <c r="M7" s="165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112.12819999999999</v>
      </c>
      <c r="N7" s="168">
        <f t="shared" ref="N7:N22" si="0">IFERROR(SUM(D7:G7)-SUM(H7:M7),0)</f>
        <v>2387.6718000000001</v>
      </c>
      <c r="Q7" s="194" t="s">
        <v>115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5">
        <f>IFERROR(SUMIF(TrapezeReport[PARTNER NAME],A8,TrapezeReport[TTL Rev]),0)</f>
        <v>2472.5</v>
      </c>
      <c r="E8" s="166" cm="1">
        <f t="array" ref="E8">SUM(_xlfn._xlws.FILTER(Deductions[[Other Income ]],(Deductions[PARTNER]=A8)*(Deductions[Type]="TRANSDEV"),0))</f>
        <v>0</v>
      </c>
      <c r="F8" s="165" cm="1">
        <f t="array" ref="F8">SUM(_xlfn._xlws.FILTER(Deductions[Bonus],(Deductions[PARTNER]=A8)*(Deductions[Type]="TRANSDEV"),0))</f>
        <v>0</v>
      </c>
      <c r="G8" s="166" cm="1">
        <f t="array" ref="G8">SUM(_xlfn._xlws.FILTER(Deductions[[Reimbursement ]],(Deductions[PARTNER]=A8)*(Deductions[Type]="TRANSDEV"),0))</f>
        <v>0</v>
      </c>
      <c r="H8" s="165" cm="1">
        <f t="array" ref="H8">SUM(_xlfn._xlws.FILTER(Deductions[Credentials],(Deductions[PARTNER]=A8)*(Deductions[Type]="TRANSDEV"),0))</f>
        <v>0</v>
      </c>
      <c r="I8" s="167" cm="1">
        <f t="array" ref="I8">SUM(_xlfn._xlws.FILTER(Deductions[LIFT LEASE TOTAL],(Deductions[PARTNER]=A8)*(Deductions[Type]="TRANSDEV"),0))</f>
        <v>370</v>
      </c>
      <c r="J8" s="165" cm="1">
        <f t="array" ref="J8">SUM(_xlfn._xlws.FILTER(Deductions[Violation],(Deductions[PARTNER]=A8)*(Deductions[Type]="TRANSDEV"),0))</f>
        <v>0</v>
      </c>
      <c r="K8" s="165">
        <f>SUMIF(TrapezeReport[PARTNER NAME],A8,TrapezeReport[Cash Fares Collected])</f>
        <v>22.400000000000002</v>
      </c>
      <c r="L8" s="165" cm="1">
        <f t="array" ref="L8">SUM(_xlfn._xlws.FILTER(Deductions[Other Deduction],(Deductions[PARTNER]=A8)*(Deductions[Type]="TRANSDEV"),0))</f>
        <v>250</v>
      </c>
      <c r="M8" s="165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106.80720000000002</v>
      </c>
      <c r="N8" s="168">
        <f t="shared" si="0"/>
        <v>1723.2927999999999</v>
      </c>
      <c r="Q8" s="193" t="s">
        <v>382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5">
        <f>IFERROR(SUMIF(TrapezeReport[PARTNER NAME],A9,TrapezeReport[TTL Rev]),0)</f>
        <v>2537</v>
      </c>
      <c r="E9" s="166" cm="1">
        <f t="array" ref="E9">SUM(_xlfn._xlws.FILTER(Deductions[[Other Income ]],(Deductions[PARTNER]=A9)*(Deductions[Type]="TRANSDEV"),0))</f>
        <v>0</v>
      </c>
      <c r="F9" s="165" cm="1">
        <f t="array" ref="F9">SUM(_xlfn._xlws.FILTER(Deductions[Bonus],(Deductions[PARTNER]=A9)*(Deductions[Type]="TRANSDEV"),0))</f>
        <v>0</v>
      </c>
      <c r="G9" s="166" cm="1">
        <f t="array" ref="G9">SUM(_xlfn._xlws.FILTER(Deductions[[Reimbursement ]],(Deductions[PARTNER]=A9)*(Deductions[Type]="TRANSDEV"),0))</f>
        <v>0</v>
      </c>
      <c r="H9" s="165" cm="1">
        <f t="array" ref="H9">SUM(_xlfn._xlws.FILTER(Deductions[Credentials],(Deductions[PARTNER]=A9)*(Deductions[Type]="TRANSDEV"),0))</f>
        <v>0</v>
      </c>
      <c r="I9" s="167" cm="1">
        <f t="array" ref="I9">SUM(_xlfn._xlws.FILTER(Deductions[LIFT LEASE TOTAL],(Deductions[PARTNER]=A9)*(Deductions[Type]="TRANSDEV"),0))</f>
        <v>370</v>
      </c>
      <c r="J9" s="165" cm="1">
        <f t="array" ref="J9">SUM(_xlfn._xlws.FILTER(Deductions[Violation],(Deductions[PARTNER]=A9)*(Deductions[Type]="TRANSDEV"),0))</f>
        <v>0</v>
      </c>
      <c r="K9" s="165">
        <f>SUMIF(TrapezeReport[PARTNER NAME],A9,TrapezeReport[Cash Fares Collected])</f>
        <v>47.599999999999994</v>
      </c>
      <c r="L9" s="165" cm="1">
        <f t="array" ref="L9">SUM(_xlfn._xlws.FILTER(Deductions[Other Deduction],(Deductions[PARTNER]=A9)*(Deductions[Type]="TRANSDEV"),0))</f>
        <v>0</v>
      </c>
      <c r="M9" s="165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60.871099999999984</v>
      </c>
      <c r="N9" s="168">
        <f t="shared" si="0"/>
        <v>2058.5289000000002</v>
      </c>
      <c r="Q9" s="194" t="s">
        <v>207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5">
        <f>IFERROR(SUMIF(TrapezeReport[PARTNER NAME],A10,TrapezeReport[TTL Rev]),0)</f>
        <v>0</v>
      </c>
      <c r="E10" s="166" cm="1">
        <f t="array" ref="E10">SUM(_xlfn._xlws.FILTER(Deductions[[Other Income ]],(Deductions[PARTNER]=A10)*(Deductions[Type]="TRANSDEV"),0))</f>
        <v>0</v>
      </c>
      <c r="F10" s="165" cm="1">
        <f t="array" ref="F10">SUM(_xlfn._xlws.FILTER(Deductions[Bonus],(Deductions[PARTNER]=A10)*(Deductions[Type]="TRANSDEV"),0))</f>
        <v>0</v>
      </c>
      <c r="G10" s="166" cm="1">
        <f t="array" ref="G10">SUM(_xlfn._xlws.FILTER(Deductions[[Reimbursement ]],(Deductions[PARTNER]=A10)*(Deductions[Type]="TRANSDEV"),0))</f>
        <v>0</v>
      </c>
      <c r="H10" s="165" cm="1">
        <f t="array" ref="H10">SUM(_xlfn._xlws.FILTER(Deductions[Credentials],(Deductions[PARTNER]=A10)*(Deductions[Type]="TRANSDEV"),0))</f>
        <v>0</v>
      </c>
      <c r="I10" s="167" cm="1">
        <f t="array" ref="I10">SUM(_xlfn._xlws.FILTER(Deductions[LIFT LEASE TOTAL],(Deductions[PARTNER]=A10)*(Deductions[Type]="TRANSDEV"),0))</f>
        <v>0</v>
      </c>
      <c r="J10" s="165" cm="1">
        <f t="array" ref="J10">SUM(_xlfn._xlws.FILTER(Deductions[Violation],(Deductions[PARTNER]=A10)*(Deductions[Type]="TRANSDEV"),0))</f>
        <v>0</v>
      </c>
      <c r="K10" s="165">
        <f>SUMIF(TrapezeReport[PARTNER NAME],A10,TrapezeReport[Cash Fares Collected])</f>
        <v>0</v>
      </c>
      <c r="L10" s="165" cm="1">
        <f t="array" ref="L10">SUM(_xlfn._xlws.FILTER(Deductions[Other Deduction],(Deductions[PARTNER]=A10)*(Deductions[Type]="TRANSDEV"),0))</f>
        <v>0</v>
      </c>
      <c r="M10" s="165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0</v>
      </c>
      <c r="N10" s="168">
        <f t="shared" si="0"/>
        <v>0</v>
      </c>
      <c r="O10" s="24"/>
      <c r="Q10" s="193" t="s">
        <v>384</v>
      </c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5">
        <f>IFERROR(SUMIF(TrapezeReport[PARTNER NAME],A11,TrapezeReport[TTL Rev]),0)</f>
        <v>2537</v>
      </c>
      <c r="E11" s="166" cm="1">
        <f t="array" ref="E11">SUM(_xlfn._xlws.FILTER(Deductions[[Other Income ]],(Deductions[PARTNER]=A11)*(Deductions[Type]="TRANSDEV"),0))</f>
        <v>0</v>
      </c>
      <c r="F11" s="165" cm="1">
        <f t="array" ref="F11">SUM(_xlfn._xlws.FILTER(Deductions[Bonus],(Deductions[PARTNER]=A11)*(Deductions[Type]="TRANSDEV"),0))</f>
        <v>0</v>
      </c>
      <c r="G11" s="166" cm="1">
        <f t="array" ref="G11">SUM(_xlfn._xlws.FILTER(Deductions[[Reimbursement ]],(Deductions[PARTNER]=A11)*(Deductions[Type]="TRANSDEV"),0))</f>
        <v>0</v>
      </c>
      <c r="H11" s="165" cm="1">
        <f t="array" ref="H11">SUM(_xlfn._xlws.FILTER(Deductions[Credentials],(Deductions[PARTNER]=A11)*(Deductions[Type]="TRANSDEV"),0))</f>
        <v>0</v>
      </c>
      <c r="I11" s="167" cm="1">
        <f t="array" ref="I11">SUM(_xlfn._xlws.FILTER(Deductions[LIFT LEASE TOTAL],(Deductions[PARTNER]=A11)*(Deductions[Type]="TRANSDEV"),0))</f>
        <v>370</v>
      </c>
      <c r="J11" s="165" cm="1">
        <f t="array" ref="J11">SUM(_xlfn._xlws.FILTER(Deductions[Violation],(Deductions[PARTNER]=A11)*(Deductions[Type]="TRANSDEV"),0))</f>
        <v>0</v>
      </c>
      <c r="K11" s="165">
        <f>SUMIF(TrapezeReport[PARTNER NAME],A11,TrapezeReport[Cash Fares Collected])</f>
        <v>22.400000000000002</v>
      </c>
      <c r="L11" s="165" cm="1">
        <f t="array" ref="L11">SUM(_xlfn._xlws.FILTER(Deductions[Other Deduction],(Deductions[PARTNER]=A11)*(Deductions[Type]="TRANSDEV"),0))</f>
        <v>0</v>
      </c>
      <c r="M11" s="165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117.28649999999996</v>
      </c>
      <c r="N11" s="168">
        <f t="shared" si="0"/>
        <v>2027.3135000000002</v>
      </c>
      <c r="Q11" s="194" t="s">
        <v>115</v>
      </c>
    </row>
    <row r="12" spans="1:17" ht="15" customHeight="1" x14ac:dyDescent="0.25">
      <c r="A12" s="69" t="str">
        <v>VAMONOS TRANSPORTATION LLC</v>
      </c>
      <c r="B12" s="28">
        <v>10027</v>
      </c>
      <c r="C12" s="29" t="str">
        <v>mpagi0752@gmail.com</v>
      </c>
      <c r="D12" s="165">
        <f>IFERROR(SUMIF(TrapezeReport[PARTNER NAME],A12,TrapezeReport[TTL Rev]),0)</f>
        <v>344</v>
      </c>
      <c r="E12" s="166" cm="1">
        <f t="array" ref="E12">SUM(_xlfn._xlws.FILTER(Deductions[[Other Income ]],(Deductions[PARTNER]=A12)*(Deductions[Type]="TRANSDEV"),0))</f>
        <v>0</v>
      </c>
      <c r="F12" s="165" cm="1">
        <f t="array" ref="F12">SUM(_xlfn._xlws.FILTER(Deductions[Bonus],(Deductions[PARTNER]=A12)*(Deductions[Type]="TRANSDEV"),0))</f>
        <v>0</v>
      </c>
      <c r="G12" s="166" cm="1">
        <f t="array" ref="G12">SUM(_xlfn._xlws.FILTER(Deductions[[Reimbursement ]],(Deductions[PARTNER]=A12)*(Deductions[Type]="TRANSDEV"),0))</f>
        <v>0</v>
      </c>
      <c r="H12" s="165" cm="1">
        <f t="array" ref="H12">SUM(_xlfn._xlws.FILTER(Deductions[Credentials],(Deductions[PARTNER]=A12)*(Deductions[Type]="TRANSDEV"),0))</f>
        <v>0</v>
      </c>
      <c r="I12" s="167" cm="1">
        <f t="array" ref="I12">SUM(_xlfn._xlws.FILTER(Deductions[LIFT LEASE TOTAL],(Deductions[PARTNER]=A12)*(Deductions[Type]="TRANSDEV"),0))</f>
        <v>74</v>
      </c>
      <c r="J12" s="165" cm="1">
        <f t="array" ref="J12">SUM(_xlfn._xlws.FILTER(Deductions[Violation],(Deductions[PARTNER]=A12)*(Deductions[Type]="TRANSDEV"),0))</f>
        <v>0</v>
      </c>
      <c r="K12" s="165">
        <f>SUMIF(TrapezeReport[PARTNER NAME],A12,TrapezeReport[Cash Fares Collected])</f>
        <v>2.8</v>
      </c>
      <c r="L12" s="165" cm="1">
        <f t="array" ref="L12">SUM(_xlfn._xlws.FILTER(Deductions[Other Deduction],(Deductions[PARTNER]=A12)*(Deductions[Type]="TRANSDEV"),0))</f>
        <v>0</v>
      </c>
      <c r="M12" s="165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0</v>
      </c>
      <c r="N12" s="168">
        <f t="shared" si="0"/>
        <v>267.2</v>
      </c>
      <c r="Q12" s="193" t="s">
        <v>382</v>
      </c>
    </row>
    <row r="13" spans="1:17" ht="15" customHeight="1" x14ac:dyDescent="0.25">
      <c r="A13" s="69" t="str">
        <v>ANGELES TRANSPORTATION, LLC</v>
      </c>
      <c r="B13" s="28">
        <v>1003</v>
      </c>
      <c r="C13" s="29" t="str">
        <v>angelestransportationllc@gmail.com</v>
      </c>
      <c r="D13" s="165">
        <f>IFERROR(SUMIF(TrapezeReport[PARTNER NAME],A13,TrapezeReport[TTL Rev]),0)</f>
        <v>2107</v>
      </c>
      <c r="E13" s="166" cm="1">
        <f t="array" ref="E13">SUM(_xlfn._xlws.FILTER(Deductions[[Other Income ]],(Deductions[PARTNER]=A13)*(Deductions[Type]="TRANSDEV"),0))</f>
        <v>0</v>
      </c>
      <c r="F13" s="165" cm="1">
        <f t="array" ref="F13">SUM(_xlfn._xlws.FILTER(Deductions[Bonus],(Deductions[PARTNER]=A13)*(Deductions[Type]="TRANSDEV"),0))</f>
        <v>0</v>
      </c>
      <c r="G13" s="166" cm="1">
        <f t="array" ref="G13">SUM(_xlfn._xlws.FILTER(Deductions[[Reimbursement ]],(Deductions[PARTNER]=A13)*(Deductions[Type]="TRANSDEV"),0))</f>
        <v>0</v>
      </c>
      <c r="H13" s="165" cm="1">
        <f t="array" ref="H13">SUM(_xlfn._xlws.FILTER(Deductions[Credentials],(Deductions[PARTNER]=A13)*(Deductions[Type]="TRANSDEV"),0))</f>
        <v>0</v>
      </c>
      <c r="I13" s="167" cm="1">
        <f t="array" ref="I13">SUM(_xlfn._xlws.FILTER(Deductions[LIFT LEASE TOTAL],(Deductions[PARTNER]=A13)*(Deductions[Type]="TRANSDEV"),0))</f>
        <v>370</v>
      </c>
      <c r="J13" s="165" cm="1">
        <f t="array" ref="J13">SUM(_xlfn._xlws.FILTER(Deductions[Violation],(Deductions[PARTNER]=A13)*(Deductions[Type]="TRANSDEV"),0))</f>
        <v>300</v>
      </c>
      <c r="K13" s="165">
        <f>SUMIF(TrapezeReport[PARTNER NAME],A13,TrapezeReport[Cash Fares Collected])</f>
        <v>22.4</v>
      </c>
      <c r="L13" s="165" cm="1">
        <f t="array" ref="L13">SUM(_xlfn._xlws.FILTER(Deductions[Other Deduction],(Deductions[PARTNER]=A13)*(Deductions[Type]="TRANSDEV"),0))</f>
        <v>0</v>
      </c>
      <c r="M13" s="165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36.185500000000019</v>
      </c>
      <c r="N13" s="168">
        <f t="shared" si="0"/>
        <v>1378.4144999999999</v>
      </c>
      <c r="Q13" s="194" t="s">
        <v>207</v>
      </c>
    </row>
    <row r="14" spans="1:17" ht="15" customHeight="1" x14ac:dyDescent="0.25">
      <c r="A14" s="69" t="str">
        <v>SANVIN VOYAGE LLC</v>
      </c>
      <c r="B14" s="28">
        <v>10025</v>
      </c>
      <c r="C14" s="29" t="str">
        <v>arviroby83@gmail.com</v>
      </c>
      <c r="D14" s="165">
        <f>IFERROR(SUMIF(TrapezeReport[PARTNER NAME],A14,TrapezeReport[TTL Rev]),0)</f>
        <v>2107</v>
      </c>
      <c r="E14" s="166" cm="1">
        <f t="array" ref="E14">SUM(_xlfn._xlws.FILTER(Deductions[[Other Income ]],(Deductions[PARTNER]=A14)*(Deductions[Type]="TRANSDEV"),0))</f>
        <v>0</v>
      </c>
      <c r="F14" s="165" cm="1">
        <f t="array" ref="F14">SUM(_xlfn._xlws.FILTER(Deductions[Bonus],(Deductions[PARTNER]=A14)*(Deductions[Type]="TRANSDEV"),0))</f>
        <v>0</v>
      </c>
      <c r="G14" s="166" cm="1">
        <f t="array" ref="G14">SUM(_xlfn._xlws.FILTER(Deductions[[Reimbursement ]],(Deductions[PARTNER]=A14)*(Deductions[Type]="TRANSDEV"),0))</f>
        <v>0</v>
      </c>
      <c r="H14" s="165" cm="1">
        <f t="array" ref="H14">SUM(_xlfn._xlws.FILTER(Deductions[Credentials],(Deductions[PARTNER]=A14)*(Deductions[Type]="TRANSDEV"),0))</f>
        <v>0</v>
      </c>
      <c r="I14" s="167" cm="1">
        <f t="array" ref="I14">SUM(_xlfn._xlws.FILTER(Deductions[LIFT LEASE TOTAL],(Deductions[PARTNER]=A14)*(Deductions[Type]="TRANSDEV"),0))</f>
        <v>370</v>
      </c>
      <c r="J14" s="165" cm="1">
        <f t="array" ref="J14">SUM(_xlfn._xlws.FILTER(Deductions[Violation],(Deductions[PARTNER]=A14)*(Deductions[Type]="TRANSDEV"),0))</f>
        <v>0</v>
      </c>
      <c r="K14" s="165">
        <f>SUMIF(TrapezeReport[PARTNER NAME],A14,TrapezeReport[Cash Fares Collected])</f>
        <v>16.799999999999997</v>
      </c>
      <c r="L14" s="165" cm="1">
        <f t="array" ref="L14">SUM(_xlfn._xlws.FILTER(Deductions[Other Deduction],(Deductions[PARTNER]=A14)*(Deductions[Type]="TRANSDEV"),0))</f>
        <v>0</v>
      </c>
      <c r="M14" s="165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8.0795999999999708</v>
      </c>
      <c r="N14" s="168">
        <f t="shared" si="0"/>
        <v>1712.1204</v>
      </c>
    </row>
    <row r="15" spans="1:17" ht="15" customHeight="1" x14ac:dyDescent="0.25">
      <c r="A15" s="69" t="str">
        <v>SAFE DESTINATION TRANSPORTATION LLC</v>
      </c>
      <c r="B15" s="28">
        <v>10028</v>
      </c>
      <c r="C15" s="29" t="str">
        <v>edis79osmanovic@gmail.com</v>
      </c>
      <c r="D15" s="165">
        <f>IFERROR(SUMIF(TrapezeReport[PARTNER NAME],A15,TrapezeReport[TTL Rev]),0)</f>
        <v>2451</v>
      </c>
      <c r="E15" s="166" cm="1">
        <f t="array" ref="E15">SUM(_xlfn._xlws.FILTER(Deductions[[Other Income ]],(Deductions[PARTNER]=A15)*(Deductions[Type]="TRANSDEV"),0))</f>
        <v>0</v>
      </c>
      <c r="F15" s="165" cm="1">
        <f t="array" ref="F15">SUM(_xlfn._xlws.FILTER(Deductions[Bonus],(Deductions[PARTNER]=A15)*(Deductions[Type]="TRANSDEV"),0))</f>
        <v>1000</v>
      </c>
      <c r="G15" s="166" cm="1">
        <f t="array" ref="G15">SUM(_xlfn._xlws.FILTER(Deductions[[Reimbursement ]],(Deductions[PARTNER]=A15)*(Deductions[Type]="TRANSDEV"),0))</f>
        <v>0</v>
      </c>
      <c r="H15" s="165" cm="1">
        <f t="array" ref="H15">SUM(_xlfn._xlws.FILTER(Deductions[Credentials],(Deductions[PARTNER]=A15)*(Deductions[Type]="TRANSDEV"),0))</f>
        <v>0</v>
      </c>
      <c r="I15" s="167" cm="1">
        <f t="array" ref="I15">SUM(_xlfn._xlws.FILTER(Deductions[LIFT LEASE TOTAL],(Deductions[PARTNER]=A15)*(Deductions[Type]="TRANSDEV"),0))</f>
        <v>370</v>
      </c>
      <c r="J15" s="165" cm="1">
        <f t="array" ref="J15">SUM(_xlfn._xlws.FILTER(Deductions[Violation],(Deductions[PARTNER]=A15)*(Deductions[Type]="TRANSDEV"),0))</f>
        <v>0</v>
      </c>
      <c r="K15" s="165">
        <f>SUMIF(TrapezeReport[PARTNER NAME],A15,TrapezeReport[Cash Fares Collected])</f>
        <v>16.799999999999997</v>
      </c>
      <c r="L15" s="165" cm="1">
        <f t="array" ref="L15">SUM(_xlfn._xlws.FILTER(Deductions[Other Deduction],(Deductions[PARTNER]=A15)*(Deductions[Type]="TRANSDEV"),0))</f>
        <v>0</v>
      </c>
      <c r="M15" s="165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64.123800000000017</v>
      </c>
      <c r="N15" s="168">
        <f t="shared" si="0"/>
        <v>3000.0762</v>
      </c>
    </row>
    <row r="16" spans="1:17" ht="31.5" customHeight="1" x14ac:dyDescent="0.25">
      <c r="A16" s="69" t="str">
        <v>DEAUNDREY WRIGHT</v>
      </c>
      <c r="B16" s="28">
        <v>10030</v>
      </c>
      <c r="C16" s="29" t="str">
        <v>dwright141@gmail.com</v>
      </c>
      <c r="D16" s="165">
        <f>IFERROR(SUMIF(TrapezeReport[PARTNER NAME],A16,TrapezeReport[TTL Rev]),0)</f>
        <v>1956.5</v>
      </c>
      <c r="E16" s="166" cm="1">
        <f t="array" ref="E16">SUM(_xlfn._xlws.FILTER(Deductions[[Other Income ]],(Deductions[PARTNER]=A16)*(Deductions[Type]="TRANSDEV"),0))</f>
        <v>0</v>
      </c>
      <c r="F16" s="165" cm="1">
        <f t="array" ref="F16">SUM(_xlfn._xlws.FILTER(Deductions[Bonus],(Deductions[PARTNER]=A16)*(Deductions[Type]="TRANSDEV"),0))</f>
        <v>0</v>
      </c>
      <c r="G16" s="166" cm="1">
        <f t="array" ref="G16">SUM(_xlfn._xlws.FILTER(Deductions[[Reimbursement ]],(Deductions[PARTNER]=A16)*(Deductions[Type]="TRANSDEV"),0))</f>
        <v>0</v>
      </c>
      <c r="H16" s="165" cm="1">
        <f t="array" ref="H16">SUM(_xlfn._xlws.FILTER(Deductions[Credentials],(Deductions[PARTNER]=A16)*(Deductions[Type]="TRANSDEV"),0))</f>
        <v>0</v>
      </c>
      <c r="I16" s="167" cm="1">
        <f t="array" ref="I16">SUM(_xlfn._xlws.FILTER(Deductions[LIFT LEASE TOTAL],(Deductions[PARTNER]=A16)*(Deductions[Type]="TRANSDEV"),0))</f>
        <v>370</v>
      </c>
      <c r="J16" s="165" cm="1">
        <f t="array" ref="J16">SUM(_xlfn._xlws.FILTER(Deductions[Violation],(Deductions[PARTNER]=A16)*(Deductions[Type]="TRANSDEV"),0))</f>
        <v>150</v>
      </c>
      <c r="K16" s="165">
        <f>SUMIF(TrapezeReport[PARTNER NAME],A16,TrapezeReport[Cash Fares Collected])</f>
        <v>22.4</v>
      </c>
      <c r="L16" s="165" cm="1">
        <f t="array" ref="L16">SUM(_xlfn._xlws.FILTER(Deductions[Other Deduction],(Deductions[PARTNER]=A16)*(Deductions[Type]="TRANSDEV"),0))</f>
        <v>0</v>
      </c>
      <c r="M16" s="165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61.795700000000011</v>
      </c>
      <c r="N16" s="168">
        <f t="shared" si="0"/>
        <v>1352.3043</v>
      </c>
    </row>
    <row r="17" spans="1:16" x14ac:dyDescent="0.25">
      <c r="A17" s="69"/>
      <c r="B17" s="23"/>
      <c r="C17" s="10"/>
      <c r="D17" s="165">
        <f>IFERROR(SUMIF(TrapezeReport[PARTNER NAME],A17,TrapezeReport[TTL Rev]),0)</f>
        <v>0</v>
      </c>
      <c r="E17" s="166" cm="1">
        <f t="array" ref="E17">SUM(_xlfn._xlws.FILTER(Deductions[[Other Income ]],(Deductions[PARTNER]=A17)*(Deductions[Type]="TRANSDEV"),0))</f>
        <v>0</v>
      </c>
      <c r="F17" s="165" cm="1">
        <f t="array" ref="F17">SUM(_xlfn._xlws.FILTER(Deductions[Bonus],(Deductions[PARTNER]=A17)*(Deductions[Type]="TRANSDEV"),0))</f>
        <v>0</v>
      </c>
      <c r="G17" s="166" cm="1">
        <f t="array" ref="G17">SUM(_xlfn._xlws.FILTER(Deductions[[Reimbursement ]],(Deductions[PARTNER]=A17)*(Deductions[Type]="TRANSDEV"),0))</f>
        <v>0</v>
      </c>
      <c r="H17" s="165" cm="1">
        <f t="array" ref="H17">SUM(_xlfn._xlws.FILTER(Deductions[Credentials],(Deductions[PARTNER]=A17)*(Deductions[Type]="TRANSDEV"),0))</f>
        <v>0</v>
      </c>
      <c r="I17" s="167" cm="1">
        <f t="array" ref="I17">SUM(_xlfn._xlws.FILTER(Deductions[LIFT LEASE TOTAL],(Deductions[PARTNER]=A17)*(Deductions[Type]="TRANSDEV"),0))</f>
        <v>0</v>
      </c>
      <c r="J17" s="165" cm="1">
        <f t="array" ref="J17">SUM(_xlfn._xlws.FILTER(Deductions[Violation],(Deductions[PARTNER]=A17)*(Deductions[Type]="TRANSDEV"),0))</f>
        <v>0</v>
      </c>
      <c r="K17" s="165">
        <f>SUMIF(TrapezeReport[PARTNER NAME],A17,TrapezeReport[Cash Fares Collected])</f>
        <v>0</v>
      </c>
      <c r="L17" s="165" cm="1">
        <f t="array" ref="L17">SUM(_xlfn._xlws.FILTER(Deductions[Other Deduction],(Deductions[PARTNER]=A17)*(Deductions[Type]="TRANSDEV"),0))</f>
        <v>0</v>
      </c>
      <c r="M17" s="165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8">
        <f t="shared" si="0"/>
        <v>0</v>
      </c>
    </row>
    <row r="18" spans="1:16" x14ac:dyDescent="0.25">
      <c r="A18" s="69"/>
      <c r="B18" s="23"/>
      <c r="C18" s="10"/>
      <c r="D18" s="165">
        <f>IFERROR(SUMIF(TrapezeReport[PARTNER NAME],A18,TrapezeReport[TTL Rev]),0)</f>
        <v>0</v>
      </c>
      <c r="E18" s="166" cm="1">
        <f t="array" ref="E18">SUM(_xlfn._xlws.FILTER(Deductions[[Other Income ]],(Deductions[PARTNER]=A18)*(Deductions[Type]="TRANSDEV"),0))</f>
        <v>0</v>
      </c>
      <c r="F18" s="165" cm="1">
        <f t="array" ref="F18">SUM(_xlfn._xlws.FILTER(Deductions[Bonus],(Deductions[PARTNER]=A18)*(Deductions[Type]="TRANSDEV"),0))</f>
        <v>0</v>
      </c>
      <c r="G18" s="166" cm="1">
        <f t="array" ref="G18">SUM(_xlfn._xlws.FILTER(Deductions[[Reimbursement ]],(Deductions[PARTNER]=A18)*(Deductions[Type]="TRANSDEV"),0))</f>
        <v>0</v>
      </c>
      <c r="H18" s="165" cm="1">
        <f t="array" ref="H18">SUM(_xlfn._xlws.FILTER(Deductions[Credentials],(Deductions[PARTNER]=A18)*(Deductions[Type]="TRANSDEV"),0))</f>
        <v>0</v>
      </c>
      <c r="I18" s="167" cm="1">
        <f t="array" ref="I18">SUM(_xlfn._xlws.FILTER(Deductions[LIFT LEASE TOTAL],(Deductions[PARTNER]=A18)*(Deductions[Type]="TRANSDEV"),0))</f>
        <v>0</v>
      </c>
      <c r="J18" s="165" cm="1">
        <f t="array" ref="J18">SUM(_xlfn._xlws.FILTER(Deductions[Violation],(Deductions[PARTNER]=A18)*(Deductions[Type]="TRANSDEV"),0))</f>
        <v>0</v>
      </c>
      <c r="K18" s="165">
        <f>SUMIF(TrapezeReport[PARTNER NAME],A18,TrapezeReport[Cash Fares Collected])</f>
        <v>0</v>
      </c>
      <c r="L18" s="165" cm="1">
        <f t="array" ref="L18">SUM(_xlfn._xlws.FILTER(Deductions[Other Deduction],(Deductions[PARTNER]=A18)*(Deductions[Type]="TRANSDEV"),0))</f>
        <v>0</v>
      </c>
      <c r="M18" s="165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8">
        <f t="shared" si="0"/>
        <v>0</v>
      </c>
    </row>
    <row r="19" spans="1:16" x14ac:dyDescent="0.25">
      <c r="A19" s="69"/>
      <c r="B19" s="23"/>
      <c r="C19" s="10"/>
      <c r="D19" s="165">
        <f>IFERROR(SUMIF(TrapezeReport[PARTNER NAME],A19,TrapezeReport[TTL Rev]),0)</f>
        <v>0</v>
      </c>
      <c r="E19" s="166" cm="1">
        <f t="array" ref="E19">SUM(_xlfn._xlws.FILTER(Deductions[[Other Income ]],(Deductions[PARTNER]=A19)*(Deductions[Type]="TRANSDEV"),0))</f>
        <v>0</v>
      </c>
      <c r="F19" s="165" cm="1">
        <f t="array" ref="F19">SUM(_xlfn._xlws.FILTER(Deductions[Bonus],(Deductions[PARTNER]=A19)*(Deductions[Type]="TRANSDEV"),0))</f>
        <v>0</v>
      </c>
      <c r="G19" s="166" cm="1">
        <f t="array" ref="G19">SUM(_xlfn._xlws.FILTER(Deductions[[Reimbursement ]],(Deductions[PARTNER]=A19)*(Deductions[Type]="TRANSDEV"),0))</f>
        <v>0</v>
      </c>
      <c r="H19" s="165" cm="1">
        <f t="array" ref="H19">SUM(_xlfn._xlws.FILTER(Deductions[Credentials],(Deductions[PARTNER]=A19)*(Deductions[Type]="TRANSDEV"),0))</f>
        <v>0</v>
      </c>
      <c r="I19" s="167" cm="1">
        <f t="array" ref="I19">SUM(_xlfn._xlws.FILTER(Deductions[LIFT LEASE TOTAL],(Deductions[PARTNER]=A19)*(Deductions[Type]="TRANSDEV"),0))</f>
        <v>0</v>
      </c>
      <c r="J19" s="165" cm="1">
        <f t="array" ref="J19">SUM(_xlfn._xlws.FILTER(Deductions[Violation],(Deductions[PARTNER]=A19)*(Deductions[Type]="TRANSDEV"),0))</f>
        <v>0</v>
      </c>
      <c r="K19" s="165">
        <f>SUMIF(TrapezeReport[PARTNER NAME],A19,TrapezeReport[Cash Fares Collected])</f>
        <v>0</v>
      </c>
      <c r="L19" s="165" cm="1">
        <f t="array" ref="L19">SUM(_xlfn._xlws.FILTER(Deductions[Other Deduction],(Deductions[PARTNER]=A19)*(Deductions[Type]="TRANSDEV"),0))</f>
        <v>0</v>
      </c>
      <c r="M19" s="165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0</v>
      </c>
      <c r="N19" s="168">
        <f t="shared" si="0"/>
        <v>0</v>
      </c>
    </row>
    <row r="20" spans="1:16" x14ac:dyDescent="0.25">
      <c r="A20" s="69"/>
      <c r="B20" s="23"/>
      <c r="C20" s="10"/>
      <c r="D20" s="165">
        <f>IFERROR(SUMIF(TrapezeReport[PARTNER NAME],A20,TrapezeReport[TTL Rev]),0)</f>
        <v>0</v>
      </c>
      <c r="E20" s="166" cm="1">
        <f t="array" ref="E20">SUM(_xlfn._xlws.FILTER(Deductions[[Other Income ]],(Deductions[PARTNER]=A20)*(Deductions[Type]="TRANSDEV"),0))</f>
        <v>0</v>
      </c>
      <c r="F20" s="165" cm="1">
        <f t="array" ref="F20">SUM(_xlfn._xlws.FILTER(Deductions[Bonus],(Deductions[PARTNER]=A20)*(Deductions[Type]="TRANSDEV"),0))</f>
        <v>0</v>
      </c>
      <c r="G20" s="166" cm="1">
        <f t="array" ref="G20">SUM(_xlfn._xlws.FILTER(Deductions[[Reimbursement ]],(Deductions[PARTNER]=A20)*(Deductions[Type]="TRANSDEV"),0))</f>
        <v>0</v>
      </c>
      <c r="H20" s="165" cm="1">
        <f t="array" ref="H20">SUM(_xlfn._xlws.FILTER(Deductions[Credentials],(Deductions[PARTNER]=A20)*(Deductions[Type]="TRANSDEV"),0))</f>
        <v>0</v>
      </c>
      <c r="I20" s="167" cm="1">
        <f t="array" ref="I20">SUM(_xlfn._xlws.FILTER(Deductions[LIFT LEASE TOTAL],(Deductions[PARTNER]=A20)*(Deductions[Type]="TRANSDEV"),0))</f>
        <v>0</v>
      </c>
      <c r="J20" s="165" cm="1">
        <f t="array" ref="J20">SUM(_xlfn._xlws.FILTER(Deductions[Violation],(Deductions[PARTNER]=A20)*(Deductions[Type]="TRANSDEV"),0))</f>
        <v>0</v>
      </c>
      <c r="K20" s="165">
        <f>SUMIF(TrapezeReport[PARTNER NAME],A20,TrapezeReport[Cash Fares Collected])</f>
        <v>0</v>
      </c>
      <c r="L20" s="165" cm="1">
        <f t="array" ref="L20">SUM(_xlfn._xlws.FILTER(Deductions[Other Deduction],(Deductions[PARTNER]=A20)*(Deductions[Type]="TRANSDEV"),0))</f>
        <v>0</v>
      </c>
      <c r="M20" s="165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8">
        <f t="shared" si="0"/>
        <v>0</v>
      </c>
    </row>
    <row r="21" spans="1:16" x14ac:dyDescent="0.25">
      <c r="A21" s="69"/>
      <c r="B21" s="23"/>
      <c r="C21" s="10"/>
      <c r="D21" s="165">
        <f>IFERROR(SUMIF(TrapezeReport[PARTNER NAME],A21,TrapezeReport[TTL Rev]),0)</f>
        <v>0</v>
      </c>
      <c r="E21" s="166" cm="1">
        <f t="array" ref="E21">SUM(_xlfn._xlws.FILTER(Deductions[[Other Income ]],(Deductions[PARTNER]=A21)*(Deductions[Type]="TRANSDEV"),0))</f>
        <v>0</v>
      </c>
      <c r="F21" s="165" cm="1">
        <f t="array" ref="F21">SUM(_xlfn._xlws.FILTER(Deductions[Bonus],(Deductions[PARTNER]=A21)*(Deductions[Type]="TRANSDEV"),0))</f>
        <v>0</v>
      </c>
      <c r="G21" s="166" cm="1">
        <f t="array" ref="G21">SUM(_xlfn._xlws.FILTER(Deductions[[Reimbursement ]],(Deductions[PARTNER]=A21)*(Deductions[Type]="TRANSDEV"),0))</f>
        <v>0</v>
      </c>
      <c r="H21" s="165" cm="1">
        <f t="array" ref="H21">SUM(_xlfn._xlws.FILTER(Deductions[Credentials],(Deductions[PARTNER]=A21)*(Deductions[Type]="TRANSDEV"),0))</f>
        <v>0</v>
      </c>
      <c r="I21" s="167" cm="1">
        <f t="array" ref="I21">SUM(_xlfn._xlws.FILTER(Deductions[LIFT LEASE TOTAL],(Deductions[PARTNER]=A21)*(Deductions[Type]="TRANSDEV"),0))</f>
        <v>0</v>
      </c>
      <c r="J21" s="165" cm="1">
        <f t="array" ref="J21">SUM(_xlfn._xlws.FILTER(Deductions[Violation],(Deductions[PARTNER]=A21)*(Deductions[Type]="TRANSDEV"),0))</f>
        <v>0</v>
      </c>
      <c r="K21" s="165">
        <f>SUMIF(TrapezeReport[PARTNER NAME],A21,TrapezeReport[Cash Fares Collected])</f>
        <v>0</v>
      </c>
      <c r="L21" s="165" cm="1">
        <f t="array" ref="L21">SUM(_xlfn._xlws.FILTER(Deductions[Other Deduction],(Deductions[PARTNER]=A21)*(Deductions[Type]="TRANSDEV"),0))</f>
        <v>0</v>
      </c>
      <c r="M21" s="165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8">
        <f t="shared" si="0"/>
        <v>0</v>
      </c>
    </row>
    <row r="22" spans="1:16" x14ac:dyDescent="0.25">
      <c r="A22" s="69"/>
      <c r="B22" s="23"/>
      <c r="C22" s="10"/>
      <c r="D22" s="165">
        <f>IFERROR(SUMIF(TrapezeReport[PARTNER NAME],A22,TrapezeReport[TTL Rev]),0)</f>
        <v>0</v>
      </c>
      <c r="E22" s="166" cm="1">
        <f t="array" ref="E22">SUM(_xlfn._xlws.FILTER(Deductions[[Other Income ]],(Deductions[PARTNER]=A22)*(Deductions[Type]="TRANSDEV"),0))</f>
        <v>0</v>
      </c>
      <c r="F22" s="165" cm="1">
        <f t="array" ref="F22">SUM(_xlfn._xlws.FILTER(Deductions[Bonus],(Deductions[PARTNER]=A22)*(Deductions[Type]="TRANSDEV"),0))</f>
        <v>0</v>
      </c>
      <c r="G22" s="166" cm="1">
        <f t="array" ref="G22">SUM(_xlfn._xlws.FILTER(Deductions[[Reimbursement ]],(Deductions[PARTNER]=A22)*(Deductions[Type]="TRANSDEV"),0))</f>
        <v>0</v>
      </c>
      <c r="H22" s="165" cm="1">
        <f t="array" ref="H22">SUM(_xlfn._xlws.FILTER(Deductions[Credentials],(Deductions[PARTNER]=A22)*(Deductions[Type]="TRANSDEV"),0))</f>
        <v>0</v>
      </c>
      <c r="I22" s="167" cm="1">
        <f t="array" ref="I22">SUM(_xlfn._xlws.FILTER(Deductions[LIFT LEASE TOTAL],(Deductions[PARTNER]=A22)*(Deductions[Type]="TRANSDEV"),0))</f>
        <v>0</v>
      </c>
      <c r="J22" s="165" cm="1">
        <f t="array" ref="J22">SUM(_xlfn._xlws.FILTER(Deductions[Violation],(Deductions[PARTNER]=A22)*(Deductions[Type]="TRANSDEV"),0))</f>
        <v>0</v>
      </c>
      <c r="K22" s="165">
        <f>SUMIF(TrapezeReport[PARTNER NAME],A22,TrapezeReport[Cash Fares Collected])</f>
        <v>0</v>
      </c>
      <c r="L22" s="165" cm="1">
        <f t="array" ref="L22">SUM(_xlfn._xlws.FILTER(Deductions[Other Deduction],(Deductions[PARTNER]=A22)*(Deductions[Type]="TRANSDEV"),0))</f>
        <v>0</v>
      </c>
      <c r="M22" s="165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8">
        <f t="shared" si="0"/>
        <v>0</v>
      </c>
    </row>
    <row r="23" spans="1:16" x14ac:dyDescent="0.25">
      <c r="A23" s="69"/>
      <c r="D23" s="169">
        <f>SUM(D6:D22)</f>
        <v>21801</v>
      </c>
      <c r="E23" s="169">
        <f t="shared" ref="E23" si="1">SUM(E6:E22)</f>
        <v>0</v>
      </c>
      <c r="F23" s="169">
        <f>SUM(F6:F22)</f>
        <v>2200</v>
      </c>
      <c r="G23" s="169">
        <f t="shared" ref="G23:L23" si="2">SUM(G6:G22)</f>
        <v>0</v>
      </c>
      <c r="H23" s="169">
        <f t="shared" si="2"/>
        <v>0</v>
      </c>
      <c r="I23" s="169">
        <f t="shared" si="2"/>
        <v>3404</v>
      </c>
      <c r="J23" s="169">
        <f t="shared" si="2"/>
        <v>450</v>
      </c>
      <c r="K23" s="169">
        <f t="shared" si="2"/>
        <v>246.40000000000006</v>
      </c>
      <c r="L23" s="169">
        <f t="shared" si="2"/>
        <v>250</v>
      </c>
      <c r="M23" s="169">
        <f>SUM(M6:M22)</f>
        <v>706.49180000000013</v>
      </c>
      <c r="N23" s="169">
        <f>SUM(N6:P22)</f>
        <v>18944.108199999999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</row>
    <row r="25" spans="1:16" x14ac:dyDescent="0.25">
      <c r="A25" s="69"/>
    </row>
    <row r="26" spans="1:16" x14ac:dyDescent="0.25"/>
    <row r="27" spans="1:16" x14ac:dyDescent="0.25"/>
    <row r="28" spans="1:16" x14ac:dyDescent="0.25">
      <c r="A28" s="69" t="s">
        <v>38</v>
      </c>
      <c r="B28" s="20" t="s">
        <v>39</v>
      </c>
      <c r="C28" s="62" t="s">
        <v>40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1"/>
    </row>
    <row r="29" spans="1:16" x14ac:dyDescent="0.25">
      <c r="A29" s="71" t="s">
        <v>41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1"/>
    </row>
    <row r="30" spans="1:16" x14ac:dyDescent="0.25">
      <c r="A30" s="71" t="s">
        <v>41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1"/>
    </row>
    <row r="31" spans="1:16" x14ac:dyDescent="0.25">
      <c r="A31" s="70" t="s">
        <v>42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1"/>
    </row>
    <row r="32" spans="1:16" x14ac:dyDescent="0.25">
      <c r="A32" s="70" t="s">
        <v>43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1"/>
    </row>
    <row r="33" spans="1:16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1"/>
    </row>
    <row r="34" spans="1:16" ht="15.75" thickBot="1" x14ac:dyDescent="0.3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1"/>
    </row>
    <row r="35" spans="1:16" ht="24" thickTop="1" x14ac:dyDescent="0.35">
      <c r="A35" s="195" t="s">
        <v>44</v>
      </c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63"/>
      <c r="P35" s="163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72">
        <f>IFERROR(SUMIF(SumUberReport[PARTNER NAME],A36,SumUberReport[Total Rev]),0)</f>
        <v>0</v>
      </c>
      <c r="E36" s="166" cm="1">
        <f t="array" ref="E36">SUM(_xlfn._xlws.FILTER(Deductions[[Other Income ]],(Deductions[PARTNER]=A36)*(Deductions[Type]="UBER"),0))</f>
        <v>0</v>
      </c>
      <c r="F36" s="165" cm="1">
        <f t="array" ref="F36">SUM(_xlfn._xlws.FILTER(Deductions[Bonus],(Deductions[PARTNER]=A36)*(Deductions[Type]="UBER"),0))</f>
        <v>0</v>
      </c>
      <c r="G36" s="166" cm="1">
        <f t="array" ref="G36">SUM(_xlfn._xlws.FILTER(Deductions[[Reimbursement ]],(Deductions[PARTNER]=A36)*(Deductions[Type]="UBER"),0))</f>
        <v>0</v>
      </c>
      <c r="H36" s="165" cm="1">
        <f t="array" ref="H36">SUM(_xlfn._xlws.FILTER(Deductions[Credentials],(Deductions[PARTNER]=A36)*(Deductions[Type]="UBER"),0))</f>
        <v>0</v>
      </c>
      <c r="I36" s="167" cm="1">
        <f t="array" ref="I36">SUM(_xlfn._xlws.FILTER(Deductions[LIFT LEASE TOTAL],(Deductions[PARTNER]=A36)*(Deductions[Type]="UBER"),0))</f>
        <v>0</v>
      </c>
      <c r="J36" s="165" cm="1">
        <f t="array" ref="J36">SUM(_xlfn._xlws.FILTER(Deductions[Violation],(Deductions[PARTNER]=A36)*(Deductions[Type]="UBER"),0))</f>
        <v>0</v>
      </c>
      <c r="K36" s="165">
        <v>0</v>
      </c>
      <c r="L36" s="165" cm="1">
        <f t="array" ref="L36">SUM(_xlfn._xlws.FILTER(Deductions[Other Deduction],(Deductions[PARTNER]=A36)*(Deductions[Type]="UBER"),0))</f>
        <v>0</v>
      </c>
      <c r="M36" s="165">
        <v>0</v>
      </c>
      <c r="N36" s="168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72">
        <f>IFERROR(SUMIF(SumUberReport[PARTNER NAME],A37,SumUberReport[Total Rev]),0)</f>
        <v>0</v>
      </c>
      <c r="E37" s="166" cm="1">
        <f t="array" ref="E37">SUM(_xlfn._xlws.FILTER(Deductions[[Other Income ]],(Deductions[PARTNER]=A37)*(Deductions[Type]="UBER"),0))</f>
        <v>0</v>
      </c>
      <c r="F37" s="165" cm="1">
        <f t="array" ref="F37">SUM(_xlfn._xlws.FILTER(Deductions[Bonus],(Deductions[PARTNER]=A37)*(Deductions[Type]="UBER"),0))</f>
        <v>0</v>
      </c>
      <c r="G37" s="166" cm="1">
        <f t="array" ref="G37">SUM(_xlfn._xlws.FILTER(Deductions[[Reimbursement ]],(Deductions[PARTNER]=A37)*(Deductions[Type]="UBER"),0))</f>
        <v>0</v>
      </c>
      <c r="H37" s="165" cm="1">
        <f t="array" ref="H37">SUM(_xlfn._xlws.FILTER(Deductions[Credentials],(Deductions[PARTNER]=A37)*(Deductions[Type]="UBER"),0))</f>
        <v>0</v>
      </c>
      <c r="I37" s="167" cm="1">
        <f t="array" ref="I37">SUM(_xlfn._xlws.FILTER(Deductions[LIFT LEASE TOTAL],(Deductions[PARTNER]=A37)*(Deductions[Type]="UBER"),0))</f>
        <v>0</v>
      </c>
      <c r="J37" s="165" cm="1">
        <f t="array" ref="J37">SUM(_xlfn._xlws.FILTER(Deductions[Violation],(Deductions[PARTNER]=A37)*(Deductions[Type]="UBER"),0))</f>
        <v>0</v>
      </c>
      <c r="K37" s="165">
        <v>0</v>
      </c>
      <c r="L37" s="165" cm="1">
        <f t="array" ref="L37">SUM(_xlfn._xlws.FILTER(Deductions[Other Deduction],(Deductions[PARTNER]=A37)*(Deductions[Type]="UBER"),0))</f>
        <v>0</v>
      </c>
      <c r="M37" s="165">
        <v>0</v>
      </c>
      <c r="N37" s="168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72">
        <f>IFERROR(SUMIF(SumUberReport[PARTNER NAME],A38,SumUberReport[Total Rev]),0)</f>
        <v>2599.12</v>
      </c>
      <c r="E38" s="166" cm="1">
        <f t="array" ref="E38">SUM(_xlfn._xlws.FILTER(Deductions[[Other Income ]],(Deductions[PARTNER]=A38)*(Deductions[Type]="UBER"),0))</f>
        <v>0</v>
      </c>
      <c r="F38" s="165" cm="1">
        <f t="array" ref="F38">SUM(_xlfn._xlws.FILTER(Deductions[Bonus],(Deductions[PARTNER]=A38)*(Deductions[Type]="UBER"),0))</f>
        <v>0</v>
      </c>
      <c r="G38" s="166" cm="1">
        <f t="array" ref="G38">SUM(_xlfn._xlws.FILTER(Deductions[[Reimbursement ]],(Deductions[PARTNER]=A38)*(Deductions[Type]="UBER"),0))</f>
        <v>0</v>
      </c>
      <c r="H38" s="165" cm="1">
        <f t="array" ref="H38">SUM(_xlfn._xlws.FILTER(Deductions[Credentials],(Deductions[PARTNER]=A38)*(Deductions[Type]="UBER"),0))</f>
        <v>0</v>
      </c>
      <c r="I38" s="167" cm="1">
        <f t="array" ref="I38">SUM(_xlfn._xlws.FILTER(Deductions[LIFT LEASE TOTAL],(Deductions[PARTNER]=A38)*(Deductions[Type]="UBER"),0))</f>
        <v>185</v>
      </c>
      <c r="J38" s="165" cm="1">
        <f t="array" ref="J38">SUM(_xlfn._xlws.FILTER(Deductions[Violation],(Deductions[PARTNER]=A38)*(Deductions[Type]="UBER"),0))</f>
        <v>0</v>
      </c>
      <c r="K38" s="165">
        <v>0</v>
      </c>
      <c r="L38" s="165" cm="1">
        <f t="array" ref="L38">SUM(_xlfn._xlws.FILTER(Deductions[Other Deduction],(Deductions[PARTNER]=A38)*(Deductions[Type]="UBER"),0))</f>
        <v>0</v>
      </c>
      <c r="M38" s="165">
        <v>0</v>
      </c>
      <c r="N38" s="168">
        <f t="shared" si="3"/>
        <v>2414.12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72">
        <f>IFERROR(SUMIF(SumUberReport[PARTNER NAME],A39,SumUberReport[Total Rev]),0)</f>
        <v>2408.66</v>
      </c>
      <c r="E39" s="166" cm="1">
        <f t="array" ref="E39">SUM(_xlfn._xlws.FILTER(Deductions[[Other Income ]],(Deductions[PARTNER]=A39)*(Deductions[Type]="UBER"),0))</f>
        <v>0</v>
      </c>
      <c r="F39" s="165" cm="1">
        <f t="array" ref="F39">SUM(_xlfn._xlws.FILTER(Deductions[Bonus],(Deductions[PARTNER]=A39)*(Deductions[Type]="UBER"),0))</f>
        <v>0</v>
      </c>
      <c r="G39" s="166" cm="1">
        <f t="array" ref="G39">SUM(_xlfn._xlws.FILTER(Deductions[[Reimbursement ]],(Deductions[PARTNER]=A39)*(Deductions[Type]="UBER"),0))</f>
        <v>0</v>
      </c>
      <c r="H39" s="165" cm="1">
        <f t="array" ref="H39">SUM(_xlfn._xlws.FILTER(Deductions[Credentials],(Deductions[PARTNER]=A39)*(Deductions[Type]="UBER"),0))</f>
        <v>0</v>
      </c>
      <c r="I39" s="167" cm="1">
        <f t="array" ref="I39">SUM(_xlfn._xlws.FILTER(Deductions[LIFT LEASE TOTAL],(Deductions[PARTNER]=A39)*(Deductions[Type]="UBER"),0))</f>
        <v>185</v>
      </c>
      <c r="J39" s="165" cm="1">
        <f t="array" ref="J39">SUM(_xlfn._xlws.FILTER(Deductions[Violation],(Deductions[PARTNER]=A39)*(Deductions[Type]="UBER"),0))</f>
        <v>0</v>
      </c>
      <c r="K39" s="165">
        <v>0</v>
      </c>
      <c r="L39" s="165" cm="1">
        <f t="array" ref="L39">SUM(_xlfn._xlws.FILTER(Deductions[Other Deduction],(Deductions[PARTNER]=A39)*(Deductions[Type]="UBER"),0))</f>
        <v>0</v>
      </c>
      <c r="M39" s="165">
        <v>0</v>
      </c>
      <c r="N39" s="168">
        <f t="shared" si="3"/>
        <v>2223.66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72">
        <f>IFERROR(SUMIF(SumUberReport[PARTNER NAME],A40,SumUberReport[Total Rev]),0)</f>
        <v>1982.7462</v>
      </c>
      <c r="E40" s="166" cm="1">
        <f t="array" ref="E40">SUM(_xlfn._xlws.FILTER(Deductions[[Other Income ]],(Deductions[PARTNER]=A40)*(Deductions[Type]="UBER"),0))</f>
        <v>0</v>
      </c>
      <c r="F40" s="165" cm="1">
        <f t="array" ref="F40">SUM(_xlfn._xlws.FILTER(Deductions[Bonus],(Deductions[PARTNER]=A40)*(Deductions[Type]="UBER"),0))</f>
        <v>0</v>
      </c>
      <c r="G40" s="166" cm="1">
        <f t="array" ref="G40">SUM(_xlfn._xlws.FILTER(Deductions[[Reimbursement ]],(Deductions[PARTNER]=A40)*(Deductions[Type]="UBER"),0))</f>
        <v>0</v>
      </c>
      <c r="H40" s="165" cm="1">
        <f t="array" ref="H40">SUM(_xlfn._xlws.FILTER(Deductions[Credentials],(Deductions[PARTNER]=A40)*(Deductions[Type]="UBER"),0))</f>
        <v>0</v>
      </c>
      <c r="I40" s="167" cm="1">
        <f t="array" ref="I40">SUM(_xlfn._xlws.FILTER(Deductions[LIFT LEASE TOTAL],(Deductions[PARTNER]=A40)*(Deductions[Type]="UBER"),0))</f>
        <v>185</v>
      </c>
      <c r="J40" s="165" cm="1">
        <f t="array" ref="J40">SUM(_xlfn._xlws.FILTER(Deductions[Violation],(Deductions[PARTNER]=A40)*(Deductions[Type]="UBER"),0))</f>
        <v>0</v>
      </c>
      <c r="K40" s="165">
        <v>0</v>
      </c>
      <c r="L40" s="165" cm="1">
        <f t="array" ref="L40">SUM(_xlfn._xlws.FILTER(Deductions[Other Deduction],(Deductions[PARTNER]=A40)*(Deductions[Type]="UBER"),0))</f>
        <v>0</v>
      </c>
      <c r="M40" s="165">
        <v>0</v>
      </c>
      <c r="N40" s="168">
        <f t="shared" si="3"/>
        <v>1797.7462</v>
      </c>
    </row>
    <row r="41" spans="1:16" ht="13.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72">
        <f>IFERROR(SUMIF(SumUberReport[PARTNER NAME],A41,SumUberReport[Total Rev]),0)</f>
        <v>3171</v>
      </c>
      <c r="E41" s="166" cm="1">
        <f t="array" ref="E41">SUM(_xlfn._xlws.FILTER(Deductions[[Other Income ]],(Deductions[PARTNER]=A41)*(Deductions[Type]="UBER"),0))</f>
        <v>0</v>
      </c>
      <c r="F41" s="165" cm="1">
        <f t="array" ref="F41">SUM(_xlfn._xlws.FILTER(Deductions[Bonus],(Deductions[PARTNER]=A41)*(Deductions[Type]="UBER"),0))</f>
        <v>0</v>
      </c>
      <c r="G41" s="166" cm="1">
        <f t="array" ref="G41">SUM(_xlfn._xlws.FILTER(Deductions[[Reimbursement ]],(Deductions[PARTNER]=A41)*(Deductions[Type]="UBER"),0))</f>
        <v>0</v>
      </c>
      <c r="H41" s="165" cm="1">
        <f t="array" ref="H41">SUM(_xlfn._xlws.FILTER(Deductions[Credentials],(Deductions[PARTNER]=A41)*(Deductions[Type]="UBER"),0))</f>
        <v>0</v>
      </c>
      <c r="I41" s="167" cm="1">
        <f t="array" ref="I41">SUM(_xlfn._xlws.FILTER(Deductions[LIFT LEASE TOTAL],(Deductions[PARTNER]=A41)*(Deductions[Type]="UBER"),0))</f>
        <v>185</v>
      </c>
      <c r="J41" s="165" cm="1">
        <f t="array" ref="J41">SUM(_xlfn._xlws.FILTER(Deductions[Violation],(Deductions[PARTNER]=A41)*(Deductions[Type]="UBER"),0))</f>
        <v>0</v>
      </c>
      <c r="K41" s="165">
        <v>0</v>
      </c>
      <c r="L41" s="165" cm="1">
        <f t="array" ref="L41">SUM(_xlfn._xlws.FILTER(Deductions[Other Deduction],(Deductions[PARTNER]=A41)*(Deductions[Type]="UBER"),0))</f>
        <v>0</v>
      </c>
      <c r="M41" s="165">
        <v>0</v>
      </c>
      <c r="N41" s="168">
        <f t="shared" si="3"/>
        <v>2986</v>
      </c>
    </row>
    <row r="42" spans="1:16" x14ac:dyDescent="0.25">
      <c r="A42" s="69"/>
      <c r="B42" s="28"/>
      <c r="C42" s="29"/>
      <c r="D42" s="172">
        <f>IFERROR(SUMIF(SumUberReport[PARTNER NAME],A42,SumUberReport[Total Rev]),0)</f>
        <v>0</v>
      </c>
      <c r="E42" s="166" cm="1">
        <f t="array" ref="E42">SUM(_xlfn._xlws.FILTER(Deductions[[Other Income ]],(Deductions[PARTNER]=A42)*(Deductions[Type]="UBER"),0))</f>
        <v>0</v>
      </c>
      <c r="F42" s="165" cm="1">
        <f t="array" ref="F42">SUM(_xlfn._xlws.FILTER(Deductions[Bonus],(Deductions[PARTNER]=A42)*(Deductions[Type]="UBER"),0))</f>
        <v>0</v>
      </c>
      <c r="G42" s="166" cm="1">
        <f t="array" ref="G42">SUM(_xlfn._xlws.FILTER(Deductions[[Reimbursement ]],(Deductions[PARTNER]=A42)*(Deductions[Type]="UBER"),0))</f>
        <v>0</v>
      </c>
      <c r="H42" s="165" cm="1">
        <f t="array" ref="H42">SUM(_xlfn._xlws.FILTER(Deductions[Credentials],(Deductions[PARTNER]=A42)*(Deductions[Type]="UBER"),0))</f>
        <v>0</v>
      </c>
      <c r="I42" s="167" cm="1">
        <f t="array" ref="I42">SUM(_xlfn._xlws.FILTER(Deductions[LIFT LEASE TOTAL],(Deductions[PARTNER]=A42)*(Deductions[Type]="UBER"),0))</f>
        <v>0</v>
      </c>
      <c r="J42" s="165" cm="1">
        <f t="array" ref="J42">SUM(_xlfn._xlws.FILTER(Deductions[Violation],(Deductions[PARTNER]=A42)*(Deductions[Type]="UBER"),0))</f>
        <v>0</v>
      </c>
      <c r="K42" s="165">
        <v>0</v>
      </c>
      <c r="L42" s="165" cm="1">
        <f t="array" ref="L42">SUM(_xlfn._xlws.FILTER(Deductions[Other Deduction],(Deductions[PARTNER]=A42)*(Deductions[Type]="UBER"),0))</f>
        <v>0</v>
      </c>
      <c r="M42" s="165">
        <v>0</v>
      </c>
      <c r="N42" s="168">
        <f t="shared" si="3"/>
        <v>0</v>
      </c>
    </row>
    <row r="43" spans="1:16" x14ac:dyDescent="0.25">
      <c r="A43" s="69"/>
      <c r="B43" s="28"/>
      <c r="C43" s="29"/>
      <c r="D43" s="172">
        <f>IFERROR(SUMIF(SumUberReport[PARTNER NAME],A43,SumUberReport[Total Rev]),0)</f>
        <v>0</v>
      </c>
      <c r="E43" s="166" cm="1">
        <f t="array" ref="E43">SUM(_xlfn._xlws.FILTER(Deductions[[Other Income ]],(Deductions[PARTNER]=A43)*(Deductions[Type]="UBER"),0))</f>
        <v>0</v>
      </c>
      <c r="F43" s="165" cm="1">
        <f t="array" ref="F43">SUM(_xlfn._xlws.FILTER(Deductions[Bonus],(Deductions[PARTNER]=A43)*(Deductions[Type]="UBER"),0))</f>
        <v>0</v>
      </c>
      <c r="G43" s="166" cm="1">
        <f t="array" ref="G43">SUM(_xlfn._xlws.FILTER(Deductions[[Reimbursement ]],(Deductions[PARTNER]=A43)*(Deductions[Type]="UBER"),0))</f>
        <v>0</v>
      </c>
      <c r="H43" s="165" cm="1">
        <f t="array" ref="H43">SUM(_xlfn._xlws.FILTER(Deductions[Credentials],(Deductions[PARTNER]=A43)*(Deductions[Type]="UBER"),0))</f>
        <v>0</v>
      </c>
      <c r="I43" s="167" cm="1">
        <f t="array" ref="I43">SUM(_xlfn._xlws.FILTER(Deductions[LIFT LEASE TOTAL],(Deductions[PARTNER]=A43)*(Deductions[Type]="UBER"),0))</f>
        <v>0</v>
      </c>
      <c r="J43" s="165" cm="1">
        <f t="array" ref="J43">SUM(_xlfn._xlws.FILTER(Deductions[Violation],(Deductions[PARTNER]=A43)*(Deductions[Type]="UBER"),0))</f>
        <v>0</v>
      </c>
      <c r="K43" s="165">
        <v>0</v>
      </c>
      <c r="L43" s="165" cm="1">
        <f t="array" ref="L43">SUM(_xlfn._xlws.FILTER(Deductions[Other Deduction],(Deductions[PARTNER]=A43)*(Deductions[Type]="UBER"),0))</f>
        <v>0</v>
      </c>
      <c r="M43" s="165">
        <v>0</v>
      </c>
      <c r="N43" s="168">
        <f t="shared" si="3"/>
        <v>0</v>
      </c>
    </row>
    <row r="44" spans="1:16" x14ac:dyDescent="0.25">
      <c r="A44" s="69"/>
      <c r="B44" s="28"/>
      <c r="C44" s="29"/>
      <c r="D44" s="172">
        <f>IFERROR(SUMIF(SumUberReport[PARTNER NAME],A44,SumUberReport[Total Rev]),0)</f>
        <v>0</v>
      </c>
      <c r="E44" s="166" cm="1">
        <f t="array" ref="E44">SUM(_xlfn._xlws.FILTER(Deductions[[Other Income ]],(Deductions[PARTNER]=A44)*(Deductions[Type]="UBER"),0))</f>
        <v>0</v>
      </c>
      <c r="F44" s="165" cm="1">
        <f t="array" ref="F44">SUM(_xlfn._xlws.FILTER(Deductions[Bonus],(Deductions[PARTNER]=A44)*(Deductions[Type]="UBER"),0))</f>
        <v>0</v>
      </c>
      <c r="G44" s="166" cm="1">
        <f t="array" ref="G44">SUM(_xlfn._xlws.FILTER(Deductions[[Reimbursement ]],(Deductions[PARTNER]=A44)*(Deductions[Type]="UBER"),0))</f>
        <v>0</v>
      </c>
      <c r="H44" s="165" cm="1">
        <f t="array" ref="H44">SUM(_xlfn._xlws.FILTER(Deductions[Credentials],(Deductions[PARTNER]=A44)*(Deductions[Type]="UBER"),0))</f>
        <v>0</v>
      </c>
      <c r="I44" s="167" cm="1">
        <f t="array" ref="I44">SUM(_xlfn._xlws.FILTER(Deductions[LIFT LEASE TOTAL],(Deductions[PARTNER]=A44)*(Deductions[Type]="UBER"),0))</f>
        <v>0</v>
      </c>
      <c r="J44" s="165" cm="1">
        <f t="array" ref="J44">SUM(_xlfn._xlws.FILTER(Deductions[Violation],(Deductions[PARTNER]=A44)*(Deductions[Type]="UBER"),0))</f>
        <v>0</v>
      </c>
      <c r="K44" s="165">
        <v>0</v>
      </c>
      <c r="L44" s="165" cm="1">
        <f t="array" ref="L44">SUM(_xlfn._xlws.FILTER(Deductions[Other Deduction],(Deductions[PARTNER]=A44)*(Deductions[Type]="UBER"),0))</f>
        <v>0</v>
      </c>
      <c r="M44" s="165">
        <v>0</v>
      </c>
      <c r="N44" s="168">
        <f t="shared" si="3"/>
        <v>0</v>
      </c>
    </row>
    <row r="45" spans="1:16" x14ac:dyDescent="0.25">
      <c r="A45" s="69"/>
      <c r="B45" s="28"/>
      <c r="C45" s="29"/>
      <c r="D45" s="172">
        <f>IFERROR(SUMIF(SumUberReport[PARTNER NAME],A45,SumUberReport[Total Rev]),0)</f>
        <v>0</v>
      </c>
      <c r="E45" s="166" cm="1">
        <f t="array" ref="E45">SUM(_xlfn._xlws.FILTER(Deductions[[Other Income ]],(Deductions[PARTNER]=A45)*(Deductions[Type]="UBER"),0))</f>
        <v>0</v>
      </c>
      <c r="F45" s="165" cm="1">
        <f t="array" ref="F45">SUM(_xlfn._xlws.FILTER(Deductions[Bonus],(Deductions[PARTNER]=A45)*(Deductions[Type]="UBER"),0))</f>
        <v>0</v>
      </c>
      <c r="G45" s="166" cm="1">
        <f t="array" ref="G45">SUM(_xlfn._xlws.FILTER(Deductions[[Reimbursement ]],(Deductions[PARTNER]=A45)*(Deductions[Type]="UBER"),0))</f>
        <v>0</v>
      </c>
      <c r="H45" s="165" cm="1">
        <f t="array" ref="H45">SUM(_xlfn._xlws.FILTER(Deductions[Credentials],(Deductions[PARTNER]=A45)*(Deductions[Type]="UBER"),0))</f>
        <v>0</v>
      </c>
      <c r="I45" s="167" cm="1">
        <f t="array" ref="I45">SUM(_xlfn._xlws.FILTER(Deductions[LIFT LEASE TOTAL],(Deductions[PARTNER]=A45)*(Deductions[Type]="UBER"),0))</f>
        <v>0</v>
      </c>
      <c r="J45" s="165" cm="1">
        <f t="array" ref="J45">SUM(_xlfn._xlws.FILTER(Deductions[Violation],(Deductions[PARTNER]=A45)*(Deductions[Type]="UBER"),0))</f>
        <v>0</v>
      </c>
      <c r="K45" s="165">
        <v>0</v>
      </c>
      <c r="L45" s="165" cm="1">
        <f t="array" ref="L45">SUM(_xlfn._xlws.FILTER(Deductions[Other Deduction],(Deductions[PARTNER]=A45)*(Deductions[Type]="UBER"),0))</f>
        <v>0</v>
      </c>
      <c r="M45" s="165">
        <v>0</v>
      </c>
      <c r="N45" s="168">
        <f t="shared" si="3"/>
        <v>0</v>
      </c>
    </row>
    <row r="46" spans="1:16" x14ac:dyDescent="0.25">
      <c r="A46" s="69"/>
      <c r="B46" s="28"/>
      <c r="C46" s="29"/>
      <c r="D46" s="172">
        <f>IFERROR(SUMIF(SumUberReport[PARTNER NAME],A46,SumUberReport[Total Rev]),0)</f>
        <v>0</v>
      </c>
      <c r="E46" s="166" cm="1">
        <f t="array" ref="E46">SUM(_xlfn._xlws.FILTER(Deductions[[Other Income ]],(Deductions[PARTNER]=A46)*(Deductions[Type]="UBER"),0))</f>
        <v>0</v>
      </c>
      <c r="F46" s="165" cm="1">
        <f t="array" ref="F46">SUM(_xlfn._xlws.FILTER(Deductions[Bonus],(Deductions[PARTNER]=A46)*(Deductions[Type]="UBER"),0))</f>
        <v>0</v>
      </c>
      <c r="G46" s="166" cm="1">
        <f t="array" ref="G46">SUM(_xlfn._xlws.FILTER(Deductions[[Reimbursement ]],(Deductions[PARTNER]=A46)*(Deductions[Type]="UBER"),0))</f>
        <v>0</v>
      </c>
      <c r="H46" s="165" cm="1">
        <f t="array" ref="H46">SUM(_xlfn._xlws.FILTER(Deductions[Credentials],(Deductions[PARTNER]=A46)*(Deductions[Type]="UBER"),0))</f>
        <v>0</v>
      </c>
      <c r="I46" s="167" cm="1">
        <f t="array" ref="I46">SUM(_xlfn._xlws.FILTER(Deductions[LIFT LEASE TOTAL],(Deductions[PARTNER]=A46)*(Deductions[Type]="UBER"),0))</f>
        <v>0</v>
      </c>
      <c r="J46" s="165" cm="1">
        <f t="array" ref="J46">SUM(_xlfn._xlws.FILTER(Deductions[Violation],(Deductions[PARTNER]=A46)*(Deductions[Type]="UBER"),0))</f>
        <v>0</v>
      </c>
      <c r="K46" s="165">
        <v>0</v>
      </c>
      <c r="L46" s="165" cm="1">
        <f t="array" ref="L46">SUM(_xlfn._xlws.FILTER(Deductions[Other Deduction],(Deductions[PARTNER]=A46)*(Deductions[Type]="UBER"),0))</f>
        <v>0</v>
      </c>
      <c r="M46" s="165">
        <v>0</v>
      </c>
      <c r="N46" s="168">
        <f t="shared" si="3"/>
        <v>0</v>
      </c>
    </row>
    <row r="47" spans="1:16" x14ac:dyDescent="0.25">
      <c r="A47" s="69"/>
      <c r="B47" s="23"/>
      <c r="C47" s="10"/>
      <c r="D47" s="172">
        <f>IFERROR(SUMIF(SumUberReport[PARTNER NAME],A47,SumUberReport[Total Rev]),0)</f>
        <v>0</v>
      </c>
      <c r="E47" s="166" cm="1">
        <f t="array" ref="E47">SUM(_xlfn._xlws.FILTER(Deductions[[Other Income ]],(Deductions[PARTNER]=A47)*(Deductions[Type]="UBER"),0))</f>
        <v>0</v>
      </c>
      <c r="F47" s="165" cm="1">
        <f t="array" ref="F47">SUM(_xlfn._xlws.FILTER(Deductions[Bonus],(Deductions[PARTNER]=A47)*(Deductions[Type]="UBER"),0))</f>
        <v>0</v>
      </c>
      <c r="G47" s="166" cm="1">
        <f t="array" ref="G47">SUM(_xlfn._xlws.FILTER(Deductions[[Reimbursement ]],(Deductions[PARTNER]=A47)*(Deductions[Type]="UBER"),0))</f>
        <v>0</v>
      </c>
      <c r="H47" s="165" cm="1">
        <f t="array" ref="H47">SUM(_xlfn._xlws.FILTER(Deductions[Credentials],(Deductions[PARTNER]=A47)*(Deductions[Type]="UBER"),0))</f>
        <v>0</v>
      </c>
      <c r="I47" s="167" cm="1">
        <f t="array" ref="I47">SUM(_xlfn._xlws.FILTER(Deductions[LIFT LEASE TOTAL],(Deductions[PARTNER]=A47)*(Deductions[Type]="UBER"),0))</f>
        <v>0</v>
      </c>
      <c r="J47" s="165" cm="1">
        <f t="array" ref="J47">SUM(_xlfn._xlws.FILTER(Deductions[Violation],(Deductions[PARTNER]=A47)*(Deductions[Type]="UBER"),0))</f>
        <v>0</v>
      </c>
      <c r="K47" s="165">
        <v>0</v>
      </c>
      <c r="L47" s="165" cm="1">
        <f t="array" ref="L47">SUM(_xlfn._xlws.FILTER(Deductions[Other Deduction],(Deductions[PARTNER]=A47)*(Deductions[Type]="UBER"),0))</f>
        <v>0</v>
      </c>
      <c r="M47" s="165">
        <v>0</v>
      </c>
      <c r="N47" s="168">
        <f t="shared" si="3"/>
        <v>0</v>
      </c>
    </row>
    <row r="48" spans="1:16" x14ac:dyDescent="0.25">
      <c r="D48" s="172">
        <f>IFERROR(SUMIF(SumUberReport[PARTNER NAME],A48,SumUberReport[Total Rev]),0)</f>
        <v>0</v>
      </c>
      <c r="E48" s="166" cm="1">
        <f t="array" ref="E48">SUM(_xlfn._xlws.FILTER(Deductions[[Other Income ]],(Deductions[PARTNER]=A48)*(Deductions[Type]="UBER"),0))</f>
        <v>0</v>
      </c>
      <c r="F48" s="165" cm="1">
        <f t="array" ref="F48">SUM(_xlfn._xlws.FILTER(Deductions[Bonus],(Deductions[PARTNER]=A48)*(Deductions[Type]="UBER"),0))</f>
        <v>0</v>
      </c>
      <c r="G48" s="166" cm="1">
        <f t="array" ref="G48">SUM(_xlfn._xlws.FILTER(Deductions[[Reimbursement ]],(Deductions[PARTNER]=A48)*(Deductions[Type]="UBER"),0))</f>
        <v>0</v>
      </c>
      <c r="H48" s="165" cm="1">
        <f t="array" ref="H48">SUM(_xlfn._xlws.FILTER(Deductions[Credentials],(Deductions[PARTNER]=A48)*(Deductions[Type]="UBER"),0))</f>
        <v>0</v>
      </c>
      <c r="I48" s="167" cm="1">
        <f t="array" ref="I48">SUM(_xlfn._xlws.FILTER(Deductions[LIFT LEASE TOTAL],(Deductions[PARTNER]=A48)*(Deductions[Type]="UBER"),0))</f>
        <v>0</v>
      </c>
      <c r="J48" s="165" cm="1">
        <f t="array" ref="J48">SUM(_xlfn._xlws.FILTER(Deductions[Violation],(Deductions[PARTNER]=A48)*(Deductions[Type]="UBER"),0))</f>
        <v>0</v>
      </c>
      <c r="K48" s="165">
        <v>0</v>
      </c>
      <c r="L48" s="165" cm="1">
        <f t="array" ref="L48">SUM(_xlfn._xlws.FILTER(Deductions[Other Deduction],(Deductions[PARTNER]=A48)*(Deductions[Type]="UBER"),0))</f>
        <v>0</v>
      </c>
      <c r="M48" s="165">
        <v>0</v>
      </c>
      <c r="N48" s="168">
        <f t="shared" si="3"/>
        <v>0</v>
      </c>
    </row>
    <row r="49" spans="4:14" x14ac:dyDescent="0.25">
      <c r="D49" s="172">
        <f>IFERROR(SUMIF(SumUberReport[PARTNER NAME],A49,SumUberReport[Total Rev]),0)</f>
        <v>0</v>
      </c>
      <c r="E49" s="166" cm="1">
        <f t="array" ref="E49">SUM(_xlfn._xlws.FILTER(Deductions[[Other Income ]],(Deductions[PARTNER]=A49)*(Deductions[Type]="UBER"),0))</f>
        <v>0</v>
      </c>
      <c r="F49" s="165" cm="1">
        <f t="array" ref="F49">SUM(_xlfn._xlws.FILTER(Deductions[Bonus],(Deductions[PARTNER]=A49)*(Deductions[Type]="UBER"),0))</f>
        <v>0</v>
      </c>
      <c r="G49" s="166" cm="1">
        <f t="array" ref="G49">SUM(_xlfn._xlws.FILTER(Deductions[[Reimbursement ]],(Deductions[PARTNER]=A49)*(Deductions[Type]="UBER"),0))</f>
        <v>0</v>
      </c>
      <c r="H49" s="165" cm="1">
        <f t="array" ref="H49">SUM(_xlfn._xlws.FILTER(Deductions[Credentials],(Deductions[PARTNER]=A49)*(Deductions[Type]="UBER"),0))</f>
        <v>0</v>
      </c>
      <c r="I49" s="167" cm="1">
        <f t="array" ref="I49">SUM(_xlfn._xlws.FILTER(Deductions[LIFT LEASE TOTAL],(Deductions[PARTNER]=A49)*(Deductions[Type]="UBER"),0))</f>
        <v>0</v>
      </c>
      <c r="J49" s="165" cm="1">
        <f t="array" ref="J49">SUM(_xlfn._xlws.FILTER(Deductions[Violation],(Deductions[PARTNER]=A49)*(Deductions[Type]="UBER"),0))</f>
        <v>0</v>
      </c>
      <c r="K49" s="165">
        <v>0</v>
      </c>
      <c r="L49" s="165" cm="1">
        <f t="array" ref="L49">SUM(_xlfn._xlws.FILTER(Deductions[Other Deduction],(Deductions[PARTNER]=A49)*(Deductions[Type]="UBER"),0))</f>
        <v>0</v>
      </c>
      <c r="M49" s="165">
        <v>0</v>
      </c>
      <c r="N49" s="168">
        <f t="shared" si="3"/>
        <v>0</v>
      </c>
    </row>
    <row r="50" spans="4:14" x14ac:dyDescent="0.25">
      <c r="D50" s="170">
        <f>SUM(D36:D49)</f>
        <v>10161.5262</v>
      </c>
      <c r="E50" s="169">
        <f t="shared" ref="E50:N50" si="4">SUM(E36:E49)</f>
        <v>0</v>
      </c>
      <c r="F50" s="169">
        <f t="shared" si="4"/>
        <v>0</v>
      </c>
      <c r="G50" s="169">
        <f t="shared" si="4"/>
        <v>0</v>
      </c>
      <c r="H50" s="169">
        <f t="shared" si="4"/>
        <v>0</v>
      </c>
      <c r="I50" s="169">
        <f t="shared" si="4"/>
        <v>740</v>
      </c>
      <c r="J50" s="169">
        <f t="shared" si="4"/>
        <v>0</v>
      </c>
      <c r="K50" s="169">
        <f t="shared" si="4"/>
        <v>0</v>
      </c>
      <c r="L50" s="169">
        <f t="shared" si="4"/>
        <v>0</v>
      </c>
      <c r="M50" s="169">
        <f>SUM(M36:M49)</f>
        <v>0</v>
      </c>
      <c r="N50" s="169">
        <f t="shared" si="4"/>
        <v>9421.5262000000002</v>
      </c>
    </row>
    <row r="51" spans="4:14" ht="15" customHeight="1" x14ac:dyDescent="0.25">
      <c r="D51" s="172"/>
    </row>
    <row r="52" spans="4:14" ht="15" customHeight="1" x14ac:dyDescent="0.25">
      <c r="D52" s="172"/>
    </row>
    <row r="53" spans="4:14" ht="15" customHeight="1" x14ac:dyDescent="0.25">
      <c r="D53" s="171">
        <f>D23+D50</f>
        <v>31962.5262</v>
      </c>
      <c r="E53" s="171">
        <f t="shared" ref="E53:L53" si="5">E23+E50</f>
        <v>0</v>
      </c>
      <c r="F53" s="171">
        <f t="shared" si="5"/>
        <v>2200</v>
      </c>
      <c r="G53" s="171">
        <f t="shared" si="5"/>
        <v>0</v>
      </c>
      <c r="H53" s="171">
        <f t="shared" si="5"/>
        <v>0</v>
      </c>
      <c r="I53" s="171">
        <f t="shared" si="5"/>
        <v>4144</v>
      </c>
      <c r="J53" s="171">
        <f t="shared" si="5"/>
        <v>450</v>
      </c>
      <c r="K53" s="171">
        <f t="shared" si="5"/>
        <v>246.40000000000006</v>
      </c>
      <c r="L53" s="171">
        <f t="shared" si="5"/>
        <v>250</v>
      </c>
      <c r="M53" s="171">
        <f>M23+M50</f>
        <v>706.49180000000013</v>
      </c>
      <c r="N53" s="171">
        <f>N23+N50</f>
        <v>28365.634399999999</v>
      </c>
    </row>
    <row r="54" spans="4:14" ht="15" customHeight="1" x14ac:dyDescent="0.25">
      <c r="D54" s="172"/>
    </row>
    <row r="55" spans="4:14" ht="15" customHeight="1" x14ac:dyDescent="0.25">
      <c r="D55" s="172"/>
    </row>
    <row r="56" spans="4:14" ht="15" customHeight="1" x14ac:dyDescent="0.25">
      <c r="D56" s="172"/>
    </row>
    <row r="57" spans="4:14" ht="15" customHeight="1" x14ac:dyDescent="0.25">
      <c r="D57" s="172"/>
    </row>
    <row r="58" spans="4:14" ht="15" customHeight="1" x14ac:dyDescent="0.25">
      <c r="D58" s="172"/>
    </row>
    <row r="59" spans="4:14" ht="15" customHeight="1" x14ac:dyDescent="0.25">
      <c r="D59" s="172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G121"/>
  <sheetViews>
    <sheetView showGridLines="0" zoomScale="90" zoomScaleNormal="9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81" customWidth="1"/>
    <col min="19" max="19" width="14.140625" style="137" customWidth="1"/>
    <col min="20" max="20" width="15.140625" style="137" customWidth="1"/>
    <col min="21" max="21" width="12.28515625" style="145" customWidth="1"/>
    <col min="22" max="23" width="10.7109375" style="145" customWidth="1"/>
    <col min="24" max="24" width="12.28515625" style="182" customWidth="1"/>
    <col min="25" max="25" width="16.28515625" style="182" customWidth="1"/>
    <col min="26" max="26" width="13.28515625" style="183" customWidth="1"/>
    <col min="27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5"/>
      <c r="P1" s="136"/>
      <c r="Q1" s="136"/>
      <c r="R1" s="136"/>
      <c r="S1" s="136"/>
      <c r="U1" s="196" t="s">
        <v>49</v>
      </c>
      <c r="V1" s="197"/>
      <c r="W1" s="198"/>
      <c r="X1" s="199" t="s">
        <v>50</v>
      </c>
      <c r="Y1" s="200"/>
      <c r="Z1" s="200"/>
      <c r="AA1" s="201"/>
      <c r="AB1" s="138"/>
      <c r="AC1" s="138"/>
      <c r="AD1" s="138"/>
      <c r="AE1" s="138"/>
      <c r="AF1" s="138"/>
      <c r="AG1" s="138"/>
    </row>
    <row r="2" spans="1:33" ht="30.75" thickBot="1" x14ac:dyDescent="0.35">
      <c r="A2" s="208" t="s">
        <v>385</v>
      </c>
      <c r="B2" s="209"/>
      <c r="C2" s="209"/>
      <c r="D2" s="107" t="s">
        <v>52</v>
      </c>
      <c r="E2" s="106">
        <f>IFERROR(SUMIF(TrapezeReport[PARTNER NAME],A2,TrapezeReport[TTL Rev]),0)</f>
        <v>2451</v>
      </c>
      <c r="G2" s="94" t="s">
        <v>53</v>
      </c>
      <c r="H2" s="96">
        <f>_xlfn.XLOOKUP(A2,Deductions[PARTNER],Deductions[Bonus],0)</f>
        <v>1000</v>
      </c>
      <c r="J2" s="6" t="s">
        <v>30</v>
      </c>
      <c r="K2" s="104">
        <f>_xlfn.XLOOKUP(A2,Deductions[PARTNER],Deductions[Credentials],0)</f>
        <v>0</v>
      </c>
      <c r="O2" s="139" t="s">
        <v>54</v>
      </c>
      <c r="P2" s="140" t="s">
        <v>55</v>
      </c>
      <c r="Q2" s="141" t="s">
        <v>56</v>
      </c>
      <c r="R2" s="141" t="s">
        <v>57</v>
      </c>
      <c r="S2" s="142" t="s">
        <v>58</v>
      </c>
      <c r="T2" s="142" t="s">
        <v>59</v>
      </c>
      <c r="U2" s="143" t="s">
        <v>60</v>
      </c>
      <c r="V2" s="143" t="s">
        <v>61</v>
      </c>
      <c r="W2" s="143" t="s">
        <v>62</v>
      </c>
      <c r="X2" s="143" t="s">
        <v>63</v>
      </c>
      <c r="Y2" s="140" t="s">
        <v>64</v>
      </c>
      <c r="Z2" s="140" t="s">
        <v>61</v>
      </c>
      <c r="AA2" s="143" t="s">
        <v>62</v>
      </c>
      <c r="AB2" s="143" t="s">
        <v>65</v>
      </c>
      <c r="AC2" s="143" t="s">
        <v>66</v>
      </c>
      <c r="AD2" s="143" t="s">
        <v>67</v>
      </c>
      <c r="AE2" s="143" t="s">
        <v>68</v>
      </c>
      <c r="AF2" s="143" t="s">
        <v>69</v>
      </c>
      <c r="AG2" s="143" t="s">
        <v>70</v>
      </c>
    </row>
    <row r="3" spans="1:33" x14ac:dyDescent="0.25">
      <c r="G3" s="75" t="s">
        <v>71</v>
      </c>
      <c r="H3" s="96">
        <f>_xlfn.XLOOKUP(A2,Deductions[PARTNER],Deductions[[Other Income ]],0)</f>
        <v>0</v>
      </c>
      <c r="J3" s="6" t="s">
        <v>31</v>
      </c>
      <c r="K3" s="104">
        <f>_xlfn.XLOOKUP(A2,Deductions[PARTNER],Deductions[LIFT LEASE TOTAL],0)</f>
        <v>370</v>
      </c>
      <c r="O3" s="135" t="str" cm="1">
        <f t="array" ref="O3">_xlfn._xlws.FILTER(SumUberReport[[WeekN]:[Total Rev]],SumUberReport[PARTNER NAME]=$A$2,"No Data for the Selected Partner")</f>
        <v>No Data for the Selected Partner</v>
      </c>
      <c r="P3" s="144"/>
      <c r="Q3" s="145"/>
      <c r="R3" s="145"/>
      <c r="T3" s="146"/>
      <c r="U3" s="138"/>
      <c r="V3" s="138"/>
      <c r="W3" s="146"/>
      <c r="X3" s="147"/>
      <c r="Y3" s="147"/>
      <c r="Z3" s="138"/>
      <c r="AA3" s="146"/>
      <c r="AB3" s="147"/>
      <c r="AC3" s="138"/>
      <c r="AD3" s="138"/>
      <c r="AE3" s="138"/>
      <c r="AF3" s="138"/>
      <c r="AG3" s="138"/>
    </row>
    <row r="4" spans="1:33" ht="21.75" thickBot="1" x14ac:dyDescent="0.4">
      <c r="A4" s="100" t="s">
        <v>72</v>
      </c>
      <c r="B4" s="210">
        <f>IFERROR(E2+H5-K7+AG5-E7,0)</f>
        <v>3000.0762</v>
      </c>
      <c r="C4" s="211"/>
      <c r="D4" s="212" t="s">
        <v>35</v>
      </c>
      <c r="E4" s="212"/>
      <c r="G4" s="98" t="s">
        <v>29</v>
      </c>
      <c r="H4" s="97">
        <f>_xlfn.XLOOKUP(A2,Deductions[PARTNER],Deductions[[Reimbursement ]],0)</f>
        <v>0</v>
      </c>
      <c r="I4" s="79"/>
      <c r="J4" s="6" t="s">
        <v>73</v>
      </c>
      <c r="K4" s="104">
        <f>SUMIF(TrapezeReport[PARTNER NAME],A2,TrapezeReport[Cash Fares Collected])</f>
        <v>16.799999999999997</v>
      </c>
      <c r="O4" s="135"/>
      <c r="P4" s="144"/>
      <c r="Q4" s="145"/>
      <c r="R4" s="145"/>
      <c r="T4" s="146"/>
      <c r="U4" s="138"/>
      <c r="V4" s="138"/>
      <c r="W4" s="146"/>
      <c r="X4" s="147"/>
      <c r="Y4" s="147"/>
      <c r="Z4" s="138"/>
      <c r="AA4" s="146"/>
      <c r="AB4" s="138"/>
      <c r="AC4" s="147"/>
      <c r="AD4" s="138"/>
      <c r="AE4" s="138"/>
      <c r="AF4" s="138"/>
      <c r="AG4" s="138"/>
    </row>
    <row r="5" spans="1:33" ht="21" x14ac:dyDescent="0.35">
      <c r="A5" s="76"/>
      <c r="B5" s="77"/>
      <c r="C5" s="78"/>
      <c r="D5" s="174" t="s">
        <v>74</v>
      </c>
      <c r="E5" s="176" cm="1">
        <f t="array" ref="E5">SUM(_xlfn._xlws.FILTER(CoastTransactions[Amount],CoastTransactions[PARTNER NAME]=A2,0))</f>
        <v>274.73</v>
      </c>
      <c r="G5" s="93" t="s">
        <v>75</v>
      </c>
      <c r="H5" s="99">
        <f>SUM(H2:H4)</f>
        <v>1000</v>
      </c>
      <c r="I5" s="79"/>
      <c r="J5" s="106" t="s">
        <v>32</v>
      </c>
      <c r="K5" s="104">
        <f>_xlfn.XLOOKUP(A2,Deductions[PARTNER],Deductions[Violation],0)</f>
        <v>0</v>
      </c>
      <c r="O5" s="148" t="s">
        <v>72</v>
      </c>
      <c r="P5" s="149">
        <f>SUM(P3:P4)</f>
        <v>0</v>
      </c>
      <c r="Q5" s="150">
        <f t="shared" ref="Q5:R5" si="0">SUM(Q3:Q4)</f>
        <v>0</v>
      </c>
      <c r="R5" s="150">
        <f t="shared" si="0"/>
        <v>0</v>
      </c>
      <c r="S5" s="149"/>
      <c r="T5" s="151">
        <f>SUM(T3:T4)</f>
        <v>0</v>
      </c>
      <c r="U5" s="152">
        <f t="shared" ref="U5:Z5" si="1">SUM(U3:U4)</f>
        <v>0</v>
      </c>
      <c r="V5" s="152">
        <f t="shared" si="1"/>
        <v>0</v>
      </c>
      <c r="W5" s="152">
        <f t="shared" si="1"/>
        <v>0</v>
      </c>
      <c r="X5" s="150"/>
      <c r="Y5" s="153"/>
      <c r="Z5" s="152">
        <f t="shared" si="1"/>
        <v>0</v>
      </c>
      <c r="AA5" s="152">
        <f>SUM(AA3:AA4)</f>
        <v>0</v>
      </c>
      <c r="AB5" s="153"/>
      <c r="AC5" s="152">
        <f>SUM(AC3:AC4)</f>
        <v>0</v>
      </c>
      <c r="AD5" s="152">
        <f t="shared" ref="AD5:AG5" si="2">SUM(AD3:AD4)</f>
        <v>0</v>
      </c>
      <c r="AE5" s="152">
        <f t="shared" si="2"/>
        <v>0</v>
      </c>
      <c r="AF5" s="152">
        <f t="shared" si="2"/>
        <v>0</v>
      </c>
      <c r="AG5" s="152">
        <f t="shared" si="2"/>
        <v>0</v>
      </c>
    </row>
    <row r="6" spans="1:33" ht="21.75" thickBot="1" x14ac:dyDescent="0.4">
      <c r="A6" s="76"/>
      <c r="B6" s="77"/>
      <c r="C6" s="78"/>
      <c r="D6" s="61" t="s">
        <v>76</v>
      </c>
      <c r="E6" s="86" cm="1">
        <f t="array" ref="E6">SUM(_xlfn._xlws.FILTER(TrapezeFuel[Calculated Fuel Cost],TrapezeFuel[PARTNER NAME]=A2,0))</f>
        <v>210.6062</v>
      </c>
      <c r="G6" s="93"/>
      <c r="H6" s="99"/>
      <c r="I6" s="79"/>
      <c r="J6" s="95" t="s">
        <v>77</v>
      </c>
      <c r="K6" s="105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</row>
    <row r="7" spans="1:33" ht="21" x14ac:dyDescent="0.35">
      <c r="A7" s="76"/>
      <c r="B7" s="77"/>
      <c r="C7" s="78"/>
      <c r="D7" s="175" t="s">
        <v>78</v>
      </c>
      <c r="E7" s="177">
        <f>IF(E5-E6&lt;0,0,E5-E6)</f>
        <v>64.123800000000017</v>
      </c>
      <c r="G7" s="93"/>
      <c r="H7" s="99"/>
      <c r="I7" s="79"/>
      <c r="J7" s="79" t="s">
        <v>48</v>
      </c>
      <c r="K7" s="104">
        <f>IFERROR(SUM(K2:K6),0)</f>
        <v>386.8</v>
      </c>
      <c r="O7"/>
      <c r="R7"/>
      <c r="S7"/>
      <c r="T7"/>
      <c r="U7"/>
      <c r="V7"/>
      <c r="W7"/>
      <c r="X7"/>
      <c r="Y7"/>
      <c r="Z7"/>
      <c r="AG7" s="74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4" t="s">
        <v>39</v>
      </c>
      <c r="P10" s="155" t="s">
        <v>92</v>
      </c>
      <c r="Q10" s="156" t="s">
        <v>93</v>
      </c>
      <c r="R10" s="156" t="s">
        <v>94</v>
      </c>
      <c r="S10" s="157" t="s">
        <v>63</v>
      </c>
      <c r="T10" s="157" t="s">
        <v>64</v>
      </c>
      <c r="U10" s="158" t="s">
        <v>95</v>
      </c>
      <c r="V10" s="158" t="s">
        <v>96</v>
      </c>
      <c r="W10" s="159" t="s">
        <v>56</v>
      </c>
      <c r="X10" s="160" t="s">
        <v>97</v>
      </c>
      <c r="Y10" s="180" t="s">
        <v>98</v>
      </c>
      <c r="Z10" s="18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179"/>
      <c r="S11" s="179"/>
      <c r="T11" s="179"/>
      <c r="U11" s="179"/>
      <c r="V11" s="179"/>
      <c r="W11" s="179"/>
      <c r="X11" s="179"/>
      <c r="Y11" s="179"/>
      <c r="Z11" s="179"/>
    </row>
    <row r="12" spans="1:33" x14ac:dyDescent="0.25">
      <c r="A12" s="64" cm="1">
        <f t="array" ref="A12:L20">_xlfn._xlws.FILTER(TrapezeReport[[Date]:[Cash Fares Collected]],TrapezeReport[PARTNER NAME]=NewSheet!A2,"No Data")</f>
        <v>45642</v>
      </c>
      <c r="B12" t="str">
        <v>LIFT VAN</v>
      </c>
      <c r="C12" s="88">
        <v>13</v>
      </c>
      <c r="D12" s="61" t="str">
        <v>910</v>
      </c>
      <c r="E12" s="86">
        <v>0.5</v>
      </c>
      <c r="F12" s="86">
        <v>12.117000000000001</v>
      </c>
      <c r="G12" s="86">
        <v>11.617000000000001</v>
      </c>
      <c r="H12" s="86">
        <v>111.532</v>
      </c>
      <c r="I12" s="74" t="str">
        <v>SAFE DESTINATION TRANSPORTATION LLC</v>
      </c>
      <c r="J12" s="4">
        <v>21.5</v>
      </c>
      <c r="K12" s="74">
        <v>279.5</v>
      </c>
      <c r="L12" s="74">
        <v>5.6</v>
      </c>
      <c r="O12" s="64" t="str" cm="1">
        <f t="array" ref="O12">_xlfn._xlws.FILTER(UberReport[[Week]:[Tolls]],UberReport[PARTNER NAME]=$A$2,"No Data for the Selected Partner")</f>
        <v>No Data for the Selected Partner</v>
      </c>
    </row>
    <row r="13" spans="1:33" x14ac:dyDescent="0.25">
      <c r="A13" s="64">
        <v>45643</v>
      </c>
      <c r="B13" t="str">
        <v>LIFT VAN</v>
      </c>
      <c r="C13" s="88">
        <v>10</v>
      </c>
      <c r="D13" s="61" t="str">
        <v>910</v>
      </c>
      <c r="E13" s="86">
        <v>0.5</v>
      </c>
      <c r="F13" s="86">
        <v>10.266999999999999</v>
      </c>
      <c r="G13" s="86">
        <v>9.7669999999999995</v>
      </c>
      <c r="H13" s="86">
        <v>119.911</v>
      </c>
      <c r="I13" s="74" t="str">
        <v>SAFE DESTINATION TRANSPORTATION LLC</v>
      </c>
      <c r="J13" s="4">
        <v>21.5</v>
      </c>
      <c r="K13" s="74">
        <v>215</v>
      </c>
      <c r="L13" s="74">
        <v>0</v>
      </c>
    </row>
    <row r="14" spans="1:33" x14ac:dyDescent="0.25">
      <c r="A14" s="64">
        <v>45644</v>
      </c>
      <c r="B14" t="str">
        <v>LIFT VAN</v>
      </c>
      <c r="C14" s="88">
        <v>16</v>
      </c>
      <c r="D14" s="61" t="str">
        <v>910</v>
      </c>
      <c r="E14" s="86">
        <v>0.5</v>
      </c>
      <c r="F14" s="86">
        <v>10.6</v>
      </c>
      <c r="G14" s="86">
        <v>10.1</v>
      </c>
      <c r="H14" s="86">
        <v>142.977</v>
      </c>
      <c r="I14" s="74" t="str">
        <v>SAFE DESTINATION TRANSPORTATION LLC</v>
      </c>
      <c r="J14" s="4">
        <v>21.5</v>
      </c>
      <c r="K14" s="74">
        <v>344</v>
      </c>
      <c r="L14" s="74">
        <v>0</v>
      </c>
    </row>
    <row r="15" spans="1:33" x14ac:dyDescent="0.25">
      <c r="A15" s="64">
        <v>45645</v>
      </c>
      <c r="B15" t="str">
        <v>LIFT VAN</v>
      </c>
      <c r="C15" s="88">
        <v>13</v>
      </c>
      <c r="D15" s="61" t="str">
        <v>910</v>
      </c>
      <c r="E15" s="86">
        <v>0.5</v>
      </c>
      <c r="F15" s="86">
        <v>9.7170000000000005</v>
      </c>
      <c r="G15" s="86">
        <v>9.2170000000000005</v>
      </c>
      <c r="H15" s="86">
        <v>129.52000000000001</v>
      </c>
      <c r="I15" s="74" t="str">
        <v>SAFE DESTINATION TRANSPORTATION LLC</v>
      </c>
      <c r="J15" s="4">
        <v>21.5</v>
      </c>
      <c r="K15" s="74">
        <v>279.5</v>
      </c>
      <c r="L15" s="74">
        <v>0</v>
      </c>
    </row>
    <row r="16" spans="1:33" x14ac:dyDescent="0.25">
      <c r="A16" s="64">
        <v>45646</v>
      </c>
      <c r="B16" t="str">
        <v>LIFT VAN</v>
      </c>
      <c r="C16" s="88">
        <v>12</v>
      </c>
      <c r="D16" s="61" t="str">
        <v>910</v>
      </c>
      <c r="E16" s="86">
        <v>0.5</v>
      </c>
      <c r="F16" s="86">
        <v>9.7829999999999995</v>
      </c>
      <c r="G16" s="86">
        <v>9.2829999999999995</v>
      </c>
      <c r="H16" s="86">
        <v>118.87</v>
      </c>
      <c r="I16" s="74" t="str">
        <v>SAFE DESTINATION TRANSPORTATION LLC</v>
      </c>
      <c r="J16" s="4">
        <v>21.5</v>
      </c>
      <c r="K16" s="74">
        <v>258</v>
      </c>
      <c r="L16" s="74">
        <v>2.8</v>
      </c>
    </row>
    <row r="17" spans="1:12" x14ac:dyDescent="0.25">
      <c r="A17" s="64">
        <v>45649</v>
      </c>
      <c r="B17" t="str">
        <v>LIFT VAN</v>
      </c>
      <c r="C17" s="88">
        <v>13</v>
      </c>
      <c r="D17" s="61" t="str">
        <v>910</v>
      </c>
      <c r="E17" s="86">
        <v>0.5</v>
      </c>
      <c r="F17" s="86">
        <v>10.4</v>
      </c>
      <c r="G17" s="86">
        <v>9.9</v>
      </c>
      <c r="H17" s="86">
        <v>139.68</v>
      </c>
      <c r="I17" s="74" t="str">
        <v>SAFE DESTINATION TRANSPORTATION LLC</v>
      </c>
      <c r="J17" s="4">
        <v>21.5</v>
      </c>
      <c r="K17" s="74">
        <v>279.5</v>
      </c>
      <c r="L17" s="74">
        <v>0</v>
      </c>
    </row>
    <row r="18" spans="1:12" x14ac:dyDescent="0.25">
      <c r="A18" s="64">
        <v>45650</v>
      </c>
      <c r="B18" t="str">
        <v>LIFT VAN</v>
      </c>
      <c r="C18" s="88">
        <v>12</v>
      </c>
      <c r="D18" s="61" t="str">
        <v>910</v>
      </c>
      <c r="E18" s="86">
        <v>0.5</v>
      </c>
      <c r="F18" s="86">
        <v>9.9830000000000005</v>
      </c>
      <c r="G18" s="86">
        <v>9.4830000000000005</v>
      </c>
      <c r="H18" s="86">
        <v>110.309</v>
      </c>
      <c r="I18" s="74" t="str">
        <v>SAFE DESTINATION TRANSPORTATION LLC</v>
      </c>
      <c r="J18" s="4">
        <v>21.5</v>
      </c>
      <c r="K18" s="74">
        <v>258</v>
      </c>
      <c r="L18" s="74">
        <v>0</v>
      </c>
    </row>
    <row r="19" spans="1:12" x14ac:dyDescent="0.25">
      <c r="A19" s="64">
        <v>45652</v>
      </c>
      <c r="B19" t="str">
        <v>LIFT VAN</v>
      </c>
      <c r="C19" s="88">
        <v>12</v>
      </c>
      <c r="D19" s="61" t="str">
        <v>910</v>
      </c>
      <c r="E19" s="86">
        <v>0.5</v>
      </c>
      <c r="F19" s="86">
        <v>9.9830000000000005</v>
      </c>
      <c r="G19" s="86">
        <v>9.4830000000000005</v>
      </c>
      <c r="H19" s="86">
        <v>122.086</v>
      </c>
      <c r="I19" s="74" t="str">
        <v>SAFE DESTINATION TRANSPORTATION LLC</v>
      </c>
      <c r="J19" s="4">
        <v>21.5</v>
      </c>
      <c r="K19" s="74">
        <v>258</v>
      </c>
      <c r="L19" s="74">
        <v>2.8</v>
      </c>
    </row>
    <row r="20" spans="1:12" x14ac:dyDescent="0.25">
      <c r="A20" s="64">
        <v>45653</v>
      </c>
      <c r="B20" t="str">
        <v>LIFT VAN</v>
      </c>
      <c r="C20" s="88">
        <v>13</v>
      </c>
      <c r="D20" s="61" t="str">
        <v>910</v>
      </c>
      <c r="E20" s="86">
        <v>0.5</v>
      </c>
      <c r="F20" s="86">
        <v>10.15</v>
      </c>
      <c r="G20" s="86">
        <v>9.65</v>
      </c>
      <c r="H20" s="86">
        <v>102.32299999999999</v>
      </c>
      <c r="I20" s="74" t="str">
        <v>SAFE DESTINATION TRANSPORTATION LLC</v>
      </c>
      <c r="J20" s="4">
        <v>21.5</v>
      </c>
      <c r="K20" s="74">
        <v>279.5</v>
      </c>
      <c r="L20" s="74">
        <v>5.6</v>
      </c>
    </row>
    <row r="21" spans="1:12" x14ac:dyDescent="0.25">
      <c r="C21" s="88"/>
      <c r="E21" s="86"/>
      <c r="F21" s="86"/>
      <c r="G21" s="86"/>
      <c r="J21" s="4"/>
      <c r="K21" s="74"/>
      <c r="L21" s="74"/>
    </row>
    <row r="22" spans="1:12" x14ac:dyDescent="0.25">
      <c r="C22" s="88"/>
      <c r="E22" s="86"/>
      <c r="F22" s="86"/>
      <c r="G22" s="86"/>
      <c r="J22" s="4"/>
      <c r="K22" s="74"/>
      <c r="L22" s="74"/>
    </row>
    <row r="23" spans="1:12" x14ac:dyDescent="0.25">
      <c r="C23" s="88"/>
      <c r="E23" s="86"/>
      <c r="F23" s="86"/>
      <c r="G23" s="86"/>
      <c r="J23" s="4"/>
      <c r="K23" s="74"/>
      <c r="L23" s="74"/>
    </row>
    <row r="24" spans="1:12" x14ac:dyDescent="0.25">
      <c r="C24" s="88"/>
      <c r="E24" s="86"/>
      <c r="F24" s="86"/>
      <c r="G24" s="86"/>
      <c r="J24" s="4"/>
      <c r="K24" s="74"/>
      <c r="L24" s="74"/>
    </row>
    <row r="25" spans="1:12" x14ac:dyDescent="0.25">
      <c r="C25" s="88"/>
      <c r="E25" s="86"/>
      <c r="F25" s="86"/>
      <c r="G25" s="86"/>
      <c r="J25" s="4"/>
      <c r="K25" s="74"/>
      <c r="L25" s="74"/>
    </row>
    <row r="26" spans="1:12" x14ac:dyDescent="0.25">
      <c r="C26" s="88"/>
      <c r="E26" s="86"/>
      <c r="F26" s="86"/>
      <c r="G26" s="86"/>
      <c r="J26" s="4"/>
      <c r="K26" s="74"/>
      <c r="L26" s="74"/>
    </row>
    <row r="27" spans="1:12" x14ac:dyDescent="0.25">
      <c r="C27" s="88"/>
      <c r="E27" s="86"/>
      <c r="F27" s="86"/>
      <c r="G27" s="86"/>
      <c r="J27" s="4"/>
      <c r="K27" s="74"/>
      <c r="L27" s="74"/>
    </row>
    <row r="28" spans="1:12" x14ac:dyDescent="0.25">
      <c r="C28" s="88"/>
      <c r="E28" s="86"/>
      <c r="F28" s="86"/>
      <c r="G28" s="86"/>
      <c r="J28" s="4"/>
      <c r="K28" s="74"/>
      <c r="L28" s="74"/>
    </row>
    <row r="29" spans="1:12" x14ac:dyDescent="0.25">
      <c r="C29" s="88"/>
      <c r="E29" s="86"/>
      <c r="F29" s="86"/>
      <c r="G29" s="86"/>
      <c r="J29" s="4"/>
      <c r="K29" s="74"/>
      <c r="L29" s="74"/>
    </row>
    <row r="30" spans="1:12" x14ac:dyDescent="0.25">
      <c r="C30" s="88"/>
      <c r="E30" s="86"/>
      <c r="F30" s="86"/>
      <c r="G30" s="86"/>
      <c r="J30" s="4"/>
      <c r="K30" s="74"/>
      <c r="L30" s="74"/>
    </row>
    <row r="31" spans="1:12" x14ac:dyDescent="0.25">
      <c r="C31" s="88"/>
      <c r="E31" s="86"/>
      <c r="F31" s="86"/>
      <c r="G31" s="86"/>
      <c r="J31" s="4"/>
      <c r="K31" s="74"/>
      <c r="L31" s="74"/>
    </row>
    <row r="32" spans="1:12" x14ac:dyDescent="0.25">
      <c r="C32" s="88"/>
      <c r="E32" s="86"/>
      <c r="F32" s="86"/>
      <c r="G32" s="86"/>
      <c r="J32" s="4"/>
      <c r="K32" s="74"/>
      <c r="L32" s="74"/>
    </row>
    <row r="33" spans="3:12" x14ac:dyDescent="0.25">
      <c r="C33" s="88"/>
      <c r="E33" s="86"/>
      <c r="F33" s="86"/>
      <c r="G33" s="86"/>
      <c r="J33" s="4"/>
      <c r="K33" s="74"/>
      <c r="L33" s="74"/>
    </row>
    <row r="34" spans="3:12" x14ac:dyDescent="0.25">
      <c r="C34" s="88"/>
      <c r="E34" s="86"/>
      <c r="F34" s="86"/>
      <c r="G34" s="86"/>
      <c r="J34" s="4"/>
      <c r="K34" s="74"/>
      <c r="L34" s="74"/>
    </row>
    <row r="35" spans="3:12" x14ac:dyDescent="0.25">
      <c r="C35" s="88"/>
      <c r="E35" s="86"/>
      <c r="F35" s="86"/>
      <c r="G35" s="86"/>
      <c r="J35" s="4"/>
      <c r="K35" s="74"/>
      <c r="L35" s="74"/>
    </row>
    <row r="36" spans="3:12" x14ac:dyDescent="0.25">
      <c r="C36" s="88"/>
      <c r="E36" s="86"/>
      <c r="F36" s="86"/>
      <c r="G36" s="86"/>
      <c r="J36" s="4"/>
      <c r="K36" s="74"/>
      <c r="L36" s="74"/>
    </row>
    <row r="37" spans="3:12" x14ac:dyDescent="0.25">
      <c r="C37" s="88"/>
      <c r="E37" s="86"/>
      <c r="F37" s="86"/>
      <c r="G37" s="86"/>
      <c r="J37" s="4"/>
      <c r="K37" s="74"/>
      <c r="L37" s="74"/>
    </row>
    <row r="38" spans="3:12" x14ac:dyDescent="0.25">
      <c r="C38" s="88"/>
      <c r="E38" s="86"/>
      <c r="F38" s="86"/>
      <c r="G38" s="86"/>
      <c r="J38" s="4"/>
      <c r="K38" s="74"/>
      <c r="L38" s="74"/>
    </row>
    <row r="39" spans="3:12" x14ac:dyDescent="0.25">
      <c r="C39" s="88"/>
      <c r="E39" s="86"/>
      <c r="F39" s="86"/>
      <c r="G39" s="86"/>
      <c r="J39" s="4"/>
      <c r="K39" s="74"/>
      <c r="L39" s="74"/>
    </row>
    <row r="40" spans="3:12" x14ac:dyDescent="0.25">
      <c r="C40" s="88"/>
      <c r="E40" s="86"/>
      <c r="F40" s="86"/>
      <c r="G40" s="86"/>
      <c r="J40" s="4"/>
      <c r="K40" s="74"/>
      <c r="L40" s="74"/>
    </row>
    <row r="41" spans="3:12" x14ac:dyDescent="0.25">
      <c r="C41" s="88"/>
      <c r="E41" s="86"/>
      <c r="F41" s="86"/>
      <c r="G41" s="86"/>
      <c r="J41" s="4"/>
      <c r="K41" s="74"/>
      <c r="L41" s="74"/>
    </row>
    <row r="42" spans="3:12" x14ac:dyDescent="0.25">
      <c r="C42" s="88"/>
      <c r="E42" s="86"/>
      <c r="F42" s="86"/>
      <c r="G42" s="86"/>
      <c r="J42" s="4"/>
      <c r="K42" s="74"/>
      <c r="L42" s="74"/>
    </row>
    <row r="43" spans="3:12" x14ac:dyDescent="0.25">
      <c r="C43" s="88"/>
      <c r="E43" s="86"/>
      <c r="F43" s="86"/>
      <c r="G43" s="86"/>
      <c r="J43" s="4"/>
      <c r="K43" s="74"/>
      <c r="L43" s="74"/>
    </row>
    <row r="44" spans="3:12" x14ac:dyDescent="0.25">
      <c r="C44" s="88"/>
      <c r="E44" s="86"/>
      <c r="F44" s="86"/>
      <c r="G44" s="86"/>
      <c r="J44" s="4"/>
      <c r="K44" s="74"/>
      <c r="L44" s="74"/>
    </row>
    <row r="45" spans="3:12" x14ac:dyDescent="0.25">
      <c r="C45" s="88"/>
      <c r="E45" s="86"/>
      <c r="F45" s="86"/>
      <c r="G45" s="86"/>
      <c r="J45" s="4"/>
      <c r="K45" s="74"/>
      <c r="L45" s="74"/>
    </row>
    <row r="46" spans="3:12" x14ac:dyDescent="0.25">
      <c r="C46" s="88"/>
      <c r="E46" s="86"/>
      <c r="F46" s="86"/>
      <c r="G46" s="86"/>
      <c r="J46" s="4"/>
      <c r="K46" s="74"/>
      <c r="L46" s="74"/>
    </row>
    <row r="47" spans="3:12" x14ac:dyDescent="0.25">
      <c r="C47" s="88"/>
      <c r="E47" s="86"/>
      <c r="F47" s="86"/>
      <c r="G47" s="86"/>
      <c r="J47" s="4"/>
      <c r="K47" s="74"/>
      <c r="L47" s="74"/>
    </row>
    <row r="48" spans="3:12" x14ac:dyDescent="0.25">
      <c r="C48" s="88"/>
      <c r="F48" s="86"/>
      <c r="G48" s="86"/>
      <c r="J48" s="4"/>
      <c r="K48" s="74"/>
      <c r="L48" s="74"/>
    </row>
    <row r="49" spans="3:12" x14ac:dyDescent="0.25">
      <c r="C49" s="88"/>
      <c r="F49" s="86"/>
      <c r="G49" s="86"/>
      <c r="J49" s="4"/>
      <c r="K49" s="74"/>
      <c r="L49" s="74"/>
    </row>
    <row r="50" spans="3:12" x14ac:dyDescent="0.25">
      <c r="C50" s="88"/>
      <c r="F50" s="86"/>
      <c r="G50" s="86"/>
      <c r="J50" s="4"/>
      <c r="K50" s="74"/>
      <c r="L50" s="74"/>
    </row>
    <row r="51" spans="3:12" x14ac:dyDescent="0.25">
      <c r="C51" s="88"/>
      <c r="F51" s="86"/>
      <c r="G51" s="86"/>
      <c r="J51" s="4"/>
      <c r="K51" s="74"/>
      <c r="L51" s="74"/>
    </row>
    <row r="52" spans="3:12" x14ac:dyDescent="0.25">
      <c r="C52" s="88"/>
      <c r="F52" s="86"/>
      <c r="G52" s="86"/>
      <c r="J52" s="4"/>
      <c r="K52" s="74"/>
      <c r="L52" s="74"/>
    </row>
    <row r="53" spans="3:12" x14ac:dyDescent="0.25">
      <c r="C53" s="88"/>
      <c r="F53" s="86"/>
      <c r="G53" s="86"/>
      <c r="J53" s="4"/>
      <c r="K53" s="74"/>
      <c r="L53" s="74"/>
    </row>
    <row r="54" spans="3:12" x14ac:dyDescent="0.25">
      <c r="C54" s="88"/>
      <c r="F54" s="86"/>
      <c r="G54" s="86"/>
      <c r="J54" s="4"/>
      <c r="K54" s="74"/>
      <c r="L54" s="74"/>
    </row>
    <row r="55" spans="3:12" x14ac:dyDescent="0.25">
      <c r="C55" s="88"/>
      <c r="F55" s="86"/>
      <c r="G55" s="86"/>
      <c r="J55" s="4"/>
      <c r="K55" s="74"/>
      <c r="L55" s="74"/>
    </row>
    <row r="56" spans="3:12" x14ac:dyDescent="0.25">
      <c r="C56" s="88"/>
      <c r="F56" s="86"/>
      <c r="G56" s="86"/>
      <c r="J56" s="4"/>
      <c r="K56" s="74"/>
      <c r="L56" s="74"/>
    </row>
    <row r="57" spans="3:12" x14ac:dyDescent="0.25">
      <c r="C57" s="88"/>
      <c r="F57" s="86"/>
      <c r="G57" s="86"/>
      <c r="J57" s="4"/>
      <c r="K57" s="74"/>
      <c r="L57" s="74"/>
    </row>
    <row r="58" spans="3:12" x14ac:dyDescent="0.25">
      <c r="C58" s="88"/>
      <c r="F58" s="86"/>
      <c r="G58" s="86"/>
      <c r="J58" s="4"/>
      <c r="K58" s="74"/>
      <c r="L58" s="74"/>
    </row>
    <row r="59" spans="3:12" x14ac:dyDescent="0.25">
      <c r="C59" s="88"/>
      <c r="F59" s="86"/>
      <c r="G59" s="86"/>
      <c r="J59" s="4"/>
      <c r="K59" s="74"/>
      <c r="L59" s="74"/>
    </row>
    <row r="60" spans="3:12" x14ac:dyDescent="0.25">
      <c r="C60" s="88"/>
      <c r="F60" s="86"/>
      <c r="G60" s="86"/>
      <c r="J60" s="4"/>
      <c r="K60" s="74"/>
      <c r="L60" s="74"/>
    </row>
    <row r="61" spans="3:12" x14ac:dyDescent="0.25">
      <c r="C61" s="88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0"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09"/>
      <c r="B2" s="109" t="str">
        <f>PR!D3</f>
        <v>Earnings</v>
      </c>
      <c r="C2" s="109" t="s">
        <v>99</v>
      </c>
      <c r="D2" s="109" t="s">
        <v>100</v>
      </c>
    </row>
    <row r="3" spans="1:4" x14ac:dyDescent="0.25">
      <c r="A3" s="110" t="str">
        <f>PR!A4</f>
        <v>Operator</v>
      </c>
      <c r="B3" s="110" t="str">
        <f>PR!D4</f>
        <v>Trips</v>
      </c>
      <c r="C3" s="110" t="s">
        <v>26</v>
      </c>
      <c r="D3" s="110" t="s">
        <v>101</v>
      </c>
    </row>
    <row r="5" spans="1:4" x14ac:dyDescent="0.25">
      <c r="A5" s="111" t="str">
        <f>IF(PR!A6=0,"",PR!A6)</f>
        <v>SUITE CHARRIOT MOBILITY LLC</v>
      </c>
      <c r="B5" s="112">
        <f>IF(PR!D6=0,"",PR!D6)</f>
        <v>2580</v>
      </c>
      <c r="C5" s="113">
        <f>IF(SUMIF(TrapezeReport!I:I,A5,TrapezeReport!C:C)=0,"",SUMIF(TrapezeReport!I:I,A5,TrapezeReport!C:C))</f>
        <v>120</v>
      </c>
      <c r="D5" s="114">
        <f t="shared" ref="D5" si="0">IFERROR(B5/C5,"")</f>
        <v>21.5</v>
      </c>
    </row>
    <row r="6" spans="1:4" x14ac:dyDescent="0.25">
      <c r="A6" s="115" t="str">
        <f>IF(PR!A7=0,"",PR!A7)</f>
        <v>FLASH LOGISTICS LLC</v>
      </c>
      <c r="B6" s="116">
        <f>IF(PR!D7=0,"",PR!D7)</f>
        <v>2709</v>
      </c>
      <c r="C6" s="117">
        <f>IF(SUMIF(TrapezeReport!I:I,A6,TrapezeReport!C:C)=0,"",SUMIF(TrapezeReport!I:I,A6,TrapezeReport!C:C))</f>
        <v>126</v>
      </c>
      <c r="D6" s="118">
        <f t="shared" ref="D6" si="1">IFERROR(B6/C6,"")</f>
        <v>21.5</v>
      </c>
    </row>
    <row r="7" spans="1:4" x14ac:dyDescent="0.25">
      <c r="A7" s="115" t="str">
        <f>IF(PR!A8=0,"",PR!A8)</f>
        <v>MVO TRANSPORTATION</v>
      </c>
      <c r="B7" s="186">
        <f>IF(PR!D8=0,"",PR!D8)</f>
        <v>2472.5</v>
      </c>
      <c r="C7" s="187">
        <f>IF(SUMIF(TrapezeReport!I:I,A7,TrapezeReport!C:C)=0,"",SUMIF(TrapezeReport!I:I,A7,TrapezeReport!C:C))</f>
        <v>115</v>
      </c>
      <c r="D7" s="188">
        <f t="shared" ref="D7" si="2">IFERROR(B7/C7,"")</f>
        <v>21.5</v>
      </c>
    </row>
    <row r="8" spans="1:4" x14ac:dyDescent="0.25">
      <c r="A8" s="115" t="str">
        <f>IF(PR!A9=0,"",PR!A9)</f>
        <v>JUST EASY ACCESS RIDE LLC</v>
      </c>
      <c r="B8" s="116">
        <f>IF(PR!D9=0,"",PR!D9)</f>
        <v>2537</v>
      </c>
      <c r="C8" s="117">
        <f>IF(SUMIF(TrapezeReport!I:I,A8,TrapezeReport!C:C)=0,"",SUMIF(TrapezeReport!I:I,A8,TrapezeReport!C:C))</f>
        <v>118</v>
      </c>
      <c r="D8" s="118">
        <f t="shared" ref="D8:D22" si="3">IFERROR(B8/C8,"")</f>
        <v>21.5</v>
      </c>
    </row>
    <row r="9" spans="1:4" x14ac:dyDescent="0.25">
      <c r="A9" s="115" t="str">
        <f>IF(PR!A10=0,"",PR!A10)</f>
        <v>ARISESIZ LLC</v>
      </c>
      <c r="B9" s="116" t="str">
        <f>IF(PR!D10=0,"",PR!D10)</f>
        <v/>
      </c>
      <c r="C9" s="117" t="str">
        <f>IF(SUMIF(TrapezeReport!I:I,A9,TrapezeReport!C:C)=0,"",SUMIF(TrapezeReport!I:I,A9,TrapezeReport!C:C))</f>
        <v/>
      </c>
      <c r="D9" s="118" t="str">
        <f t="shared" si="3"/>
        <v/>
      </c>
    </row>
    <row r="10" spans="1:4" x14ac:dyDescent="0.25">
      <c r="A10" s="115" t="str">
        <f>IF(PR!A11=0,"",PR!A11)</f>
        <v>MTIGER TRANSPORTATION</v>
      </c>
      <c r="B10" s="186">
        <f>IF(PR!D11=0,"",PR!D11)</f>
        <v>2537</v>
      </c>
      <c r="C10" s="187">
        <f>IF(SUMIF(TrapezeReport!I:I,A10,TrapezeReport!C:C)=0,"",SUMIF(TrapezeReport!I:I,A10,TrapezeReport!C:C))</f>
        <v>118</v>
      </c>
      <c r="D10" s="188">
        <f t="shared" si="3"/>
        <v>21.5</v>
      </c>
    </row>
    <row r="11" spans="1:4" x14ac:dyDescent="0.25">
      <c r="A11" s="115" t="str">
        <f>IF(PR!A12=0,"",PR!A12)</f>
        <v>VAMONOS TRANSPORTATION LLC</v>
      </c>
      <c r="B11" s="116">
        <f>IF(PR!D12=0,"",PR!D12)</f>
        <v>344</v>
      </c>
      <c r="C11" s="117">
        <f>IF(SUMIF(TrapezeReport!I:I,A11,TrapezeReport!C:C)=0,"",SUMIF(TrapezeReport!I:I,A11,TrapezeReport!C:C))</f>
        <v>16</v>
      </c>
      <c r="D11" s="118">
        <f t="shared" si="3"/>
        <v>21.5</v>
      </c>
    </row>
    <row r="12" spans="1:4" x14ac:dyDescent="0.25">
      <c r="A12" s="115" t="str">
        <f>IF(PR!A13=0,"",PR!A13)</f>
        <v>ANGELES TRANSPORTATION, LLC</v>
      </c>
      <c r="B12" s="116">
        <f>IF(PR!D13=0,"",PR!D13)</f>
        <v>2107</v>
      </c>
      <c r="C12" s="117">
        <f>IF(SUMIF(TrapezeReport!I:I,A12,TrapezeReport!C:C)=0,"",SUMIF(TrapezeReport!I:I,A12,TrapezeReport!C:C))</f>
        <v>98</v>
      </c>
      <c r="D12" s="118">
        <f t="shared" si="3"/>
        <v>21.5</v>
      </c>
    </row>
    <row r="13" spans="1:4" x14ac:dyDescent="0.25">
      <c r="A13" s="115" t="str">
        <f>IF(PR!A14=0,"",PR!A14)</f>
        <v>SANVIN VOYAGE LLC</v>
      </c>
      <c r="B13" s="116">
        <f>IF(PR!D14=0,"",PR!D14)</f>
        <v>2107</v>
      </c>
      <c r="C13" s="117">
        <f>IF(SUMIF(TrapezeReport!I:I,A13,TrapezeReport!C:C)=0,"",SUMIF(TrapezeReport!I:I,A13,TrapezeReport!C:C))</f>
        <v>98</v>
      </c>
      <c r="D13" s="118">
        <f t="shared" si="3"/>
        <v>21.5</v>
      </c>
    </row>
    <row r="14" spans="1:4" x14ac:dyDescent="0.25">
      <c r="A14" s="115" t="str">
        <f>IF(PR!A15=0,"",PR!A15)</f>
        <v>SAFE DESTINATION TRANSPORTATION LLC</v>
      </c>
      <c r="B14" s="116">
        <f>IF(PR!D15=0,"",PR!D15)</f>
        <v>2451</v>
      </c>
      <c r="C14" s="117">
        <f>IF(SUMIF(TrapezeReport!I:I,A14,TrapezeReport!C:C)=0,"",SUMIF(TrapezeReport!I:I,A14,TrapezeReport!C:C))</f>
        <v>114</v>
      </c>
      <c r="D14" s="118">
        <f t="shared" si="3"/>
        <v>21.5</v>
      </c>
    </row>
    <row r="15" spans="1:4" x14ac:dyDescent="0.25">
      <c r="A15" s="115" t="str">
        <f>IF(PR!A16=0,"",PR!A16)</f>
        <v>DEAUNDREY WRIGHT</v>
      </c>
      <c r="B15" s="186">
        <f>IF(PR!D16=0,"",PR!D16)</f>
        <v>1956.5</v>
      </c>
      <c r="C15" s="187">
        <f>IF(SUMIF(TrapezeReport!I:I,A15,TrapezeReport!C:C)=0,"",SUMIF(TrapezeReport!I:I,A15,TrapezeReport!C:C))</f>
        <v>91</v>
      </c>
      <c r="D15" s="188">
        <f t="shared" ref="D15" si="4">IFERROR(B15/C15,"")</f>
        <v>21.5</v>
      </c>
    </row>
    <row r="16" spans="1:4" x14ac:dyDescent="0.25">
      <c r="A16" s="115" t="str">
        <f>IF(PR!A17=0,"",PR!A17)</f>
        <v/>
      </c>
      <c r="B16" s="186" t="str">
        <f>IF(PR!D17=0,"",PR!D17)</f>
        <v/>
      </c>
      <c r="C16" s="187" t="str">
        <f>IF(SUMIF(TrapezeReport!I:I,A16,TrapezeReport!C:C)=0,"",SUMIF(TrapezeReport!I:I,A16,TrapezeReport!C:C))</f>
        <v/>
      </c>
      <c r="D16" s="188" t="str">
        <f t="shared" ref="D16:D19" si="5">IFERROR(B16/C16,"")</f>
        <v/>
      </c>
    </row>
    <row r="17" spans="1:4" x14ac:dyDescent="0.25">
      <c r="A17" s="115" t="str">
        <f>IF(PR!A18=0,"",PR!A18)</f>
        <v/>
      </c>
      <c r="B17" s="116" t="str">
        <f>IF(PR!D18=0,"",PR!D18)</f>
        <v/>
      </c>
      <c r="C17" s="117" t="str">
        <f>IF(SUMIF(TrapezeReport!I:I,A17,TrapezeReport!C:C)=0,"",SUMIF(TrapezeReport!I:I,A17,TrapezeReport!C:C))</f>
        <v/>
      </c>
      <c r="D17" s="118" t="str">
        <f t="shared" si="5"/>
        <v/>
      </c>
    </row>
    <row r="18" spans="1:4" x14ac:dyDescent="0.25">
      <c r="A18" s="115" t="str">
        <f>IF(PR!A19=0,"",PR!A19)</f>
        <v/>
      </c>
      <c r="B18" s="116" t="str">
        <f>IF(PR!D19=0,"",PR!D19)</f>
        <v/>
      </c>
      <c r="C18" s="117" t="str">
        <f>IF(SUMIF(TrapezeReport!I:I,A18,TrapezeReport!C:C)=0,"",SUMIF(TrapezeReport!I:I,A18,TrapezeReport!C:C))</f>
        <v/>
      </c>
      <c r="D18" s="118" t="str">
        <f t="shared" si="5"/>
        <v/>
      </c>
    </row>
    <row r="19" spans="1:4" x14ac:dyDescent="0.25">
      <c r="A19" s="115" t="str">
        <f>IF(PR!A20=0,"",PR!A20)</f>
        <v/>
      </c>
      <c r="B19" s="116" t="str">
        <f>IF(PR!D20=0,"",PR!D20)</f>
        <v/>
      </c>
      <c r="C19" s="117" t="str">
        <f>IF(SUMIF(TrapezeReport!I:I,A19,TrapezeReport!C:C)=0,"",SUMIF(TrapezeReport!I:I,A19,TrapezeReport!C:C))</f>
        <v/>
      </c>
      <c r="D19" s="118" t="str">
        <f t="shared" si="5"/>
        <v/>
      </c>
    </row>
    <row r="20" spans="1:4" x14ac:dyDescent="0.25">
      <c r="A20" s="119"/>
      <c r="B20" s="120"/>
      <c r="C20" s="120" t="str">
        <f>IF(SUMIF(TrapezeReport!I:I,A20,TrapezeReport!C:C)=0,"",SUMIF(TrapezeReport!I:I,A20,TrapezeReport!C:C))</f>
        <v/>
      </c>
      <c r="D20" s="120" t="str">
        <f t="shared" si="3"/>
        <v/>
      </c>
    </row>
    <row r="21" spans="1:4" x14ac:dyDescent="0.25">
      <c r="A21" s="69"/>
    </row>
    <row r="22" spans="1:4" x14ac:dyDescent="0.25">
      <c r="A22" s="121" t="s">
        <v>72</v>
      </c>
      <c r="B22" s="122">
        <f>SUM(B5:B21)</f>
        <v>21801</v>
      </c>
      <c r="C22" s="124">
        <f>SUM(C5:C21)</f>
        <v>1014</v>
      </c>
      <c r="D22" s="123">
        <f t="shared" si="3"/>
        <v>21.5</v>
      </c>
    </row>
    <row r="24" spans="1:4" x14ac:dyDescent="0.25">
      <c r="B24" s="125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</row>
    <row r="2" spans="1:7" x14ac:dyDescent="0.25">
      <c r="A2" t="s">
        <v>109</v>
      </c>
      <c r="B2" t="s">
        <v>109</v>
      </c>
      <c r="C2" t="s">
        <v>110</v>
      </c>
      <c r="E2" t="s">
        <v>111</v>
      </c>
      <c r="F2">
        <v>1011</v>
      </c>
      <c r="G2" t="s">
        <v>110</v>
      </c>
    </row>
    <row r="3" spans="1:7" x14ac:dyDescent="0.25">
      <c r="A3" t="s">
        <v>112</v>
      </c>
      <c r="B3" t="s">
        <v>113</v>
      </c>
      <c r="C3" t="s">
        <v>110</v>
      </c>
      <c r="E3" t="s">
        <v>114</v>
      </c>
      <c r="F3">
        <v>1083</v>
      </c>
      <c r="G3" t="s">
        <v>110</v>
      </c>
    </row>
    <row r="4" spans="1:7" x14ac:dyDescent="0.25">
      <c r="A4" t="s">
        <v>115</v>
      </c>
      <c r="B4" t="s">
        <v>116</v>
      </c>
      <c r="C4" t="s">
        <v>110</v>
      </c>
      <c r="E4" t="s">
        <v>117</v>
      </c>
      <c r="F4">
        <v>12073</v>
      </c>
      <c r="G4" t="s">
        <v>110</v>
      </c>
    </row>
    <row r="5" spans="1:7" x14ac:dyDescent="0.25">
      <c r="A5" t="s">
        <v>382</v>
      </c>
      <c r="B5" t="s">
        <v>51</v>
      </c>
      <c r="C5" t="s">
        <v>110</v>
      </c>
      <c r="E5" t="s">
        <v>383</v>
      </c>
      <c r="F5">
        <v>1019</v>
      </c>
      <c r="G5" t="s">
        <v>110</v>
      </c>
    </row>
    <row r="6" spans="1:7" x14ac:dyDescent="0.25">
      <c r="A6" t="s">
        <v>112</v>
      </c>
      <c r="B6" t="s">
        <v>118</v>
      </c>
      <c r="C6" t="s">
        <v>110</v>
      </c>
      <c r="E6" t="s">
        <v>114</v>
      </c>
      <c r="F6">
        <v>1083</v>
      </c>
      <c r="G6" t="s">
        <v>110</v>
      </c>
    </row>
    <row r="7" spans="1:7" x14ac:dyDescent="0.25">
      <c r="A7" t="s">
        <v>384</v>
      </c>
      <c r="B7" t="s">
        <v>119</v>
      </c>
      <c r="C7" t="s">
        <v>110</v>
      </c>
      <c r="E7" t="s">
        <v>120</v>
      </c>
      <c r="F7">
        <v>1020</v>
      </c>
      <c r="G7" t="s">
        <v>110</v>
      </c>
    </row>
    <row r="8" spans="1:7" x14ac:dyDescent="0.25">
      <c r="A8" t="s">
        <v>207</v>
      </c>
      <c r="B8" t="s">
        <v>338</v>
      </c>
      <c r="C8" t="s">
        <v>110</v>
      </c>
      <c r="E8" t="s">
        <v>230</v>
      </c>
      <c r="F8">
        <v>1000</v>
      </c>
      <c r="G8" t="s">
        <v>110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28</v>
      </c>
      <c r="M1" t="s">
        <v>130</v>
      </c>
      <c r="N1" t="s">
        <v>131</v>
      </c>
      <c r="O1" t="s">
        <v>32</v>
      </c>
      <c r="P1" t="s">
        <v>77</v>
      </c>
      <c r="Q1" t="s">
        <v>33</v>
      </c>
      <c r="R1" t="s">
        <v>132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324</v>
      </c>
      <c r="I1" t="s">
        <v>325</v>
      </c>
      <c r="J1" t="s">
        <v>326</v>
      </c>
      <c r="K1" t="s">
        <v>327</v>
      </c>
      <c r="L1" t="s">
        <v>328</v>
      </c>
      <c r="M1" t="s">
        <v>130</v>
      </c>
      <c r="N1" t="s">
        <v>329</v>
      </c>
      <c r="O1" t="s">
        <v>330</v>
      </c>
      <c r="P1" t="s">
        <v>331</v>
      </c>
      <c r="Q1" t="s">
        <v>332</v>
      </c>
      <c r="R1" t="s">
        <v>333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E12"/>
  <sheetViews>
    <sheetView showGridLines="0" workbookViewId="0">
      <selection activeCell="E5" sqref="E5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89" t="s">
        <v>102</v>
      </c>
      <c r="B3" s="89" t="s">
        <v>54</v>
      </c>
      <c r="C3" t="s">
        <v>334</v>
      </c>
      <c r="D3" t="s">
        <v>335</v>
      </c>
      <c r="E3" t="s">
        <v>347</v>
      </c>
    </row>
    <row r="4" spans="1:5" x14ac:dyDescent="0.25">
      <c r="A4" t="s">
        <v>115</v>
      </c>
      <c r="B4" t="s">
        <v>14</v>
      </c>
      <c r="C4">
        <v>49.86</v>
      </c>
      <c r="D4">
        <v>48</v>
      </c>
      <c r="E4" s="190">
        <f t="shared" ref="E4:E11" si="0">C4-D4</f>
        <v>1.8599999999999994</v>
      </c>
    </row>
    <row r="5" spans="1:5" x14ac:dyDescent="0.25">
      <c r="A5" t="s">
        <v>115</v>
      </c>
      <c r="B5" t="s">
        <v>15</v>
      </c>
      <c r="C5">
        <v>39.090000000000003</v>
      </c>
      <c r="D5">
        <v>39</v>
      </c>
      <c r="E5" s="190">
        <f t="shared" si="0"/>
        <v>9.0000000000003411E-2</v>
      </c>
    </row>
    <row r="6" spans="1:5" x14ac:dyDescent="0.25">
      <c r="A6" t="s">
        <v>207</v>
      </c>
      <c r="B6" t="s">
        <v>14</v>
      </c>
      <c r="C6">
        <v>50.1</v>
      </c>
      <c r="D6">
        <v>48</v>
      </c>
      <c r="E6" s="190">
        <f t="shared" si="0"/>
        <v>2.1000000000000014</v>
      </c>
    </row>
    <row r="7" spans="1:5" x14ac:dyDescent="0.25">
      <c r="A7" t="s">
        <v>207</v>
      </c>
      <c r="B7" t="s">
        <v>15</v>
      </c>
      <c r="C7">
        <v>53.34</v>
      </c>
      <c r="D7">
        <v>48</v>
      </c>
      <c r="E7" s="190">
        <f t="shared" si="0"/>
        <v>5.3400000000000034</v>
      </c>
    </row>
    <row r="8" spans="1:5" x14ac:dyDescent="0.25">
      <c r="A8" t="s">
        <v>384</v>
      </c>
      <c r="B8" t="s">
        <v>14</v>
      </c>
      <c r="C8">
        <v>38.46</v>
      </c>
      <c r="D8">
        <v>36</v>
      </c>
      <c r="E8" s="190">
        <f t="shared" si="0"/>
        <v>2.4600000000000009</v>
      </c>
    </row>
    <row r="9" spans="1:5" x14ac:dyDescent="0.25">
      <c r="A9" t="s">
        <v>384</v>
      </c>
      <c r="B9" t="s">
        <v>15</v>
      </c>
      <c r="C9">
        <v>32.57</v>
      </c>
      <c r="D9">
        <v>32.57</v>
      </c>
      <c r="E9" s="190">
        <f t="shared" si="0"/>
        <v>0</v>
      </c>
    </row>
    <row r="10" spans="1:5" x14ac:dyDescent="0.25">
      <c r="A10" t="s">
        <v>382</v>
      </c>
      <c r="B10" t="s">
        <v>14</v>
      </c>
      <c r="C10">
        <v>37.03</v>
      </c>
      <c r="D10">
        <v>36</v>
      </c>
      <c r="E10" s="190">
        <f t="shared" si="0"/>
        <v>1.0300000000000011</v>
      </c>
    </row>
    <row r="11" spans="1:5" x14ac:dyDescent="0.25">
      <c r="A11" t="s">
        <v>382</v>
      </c>
      <c r="B11" t="s">
        <v>15</v>
      </c>
      <c r="C11">
        <v>37.159999999999997</v>
      </c>
      <c r="D11">
        <v>36</v>
      </c>
      <c r="E11" s="190">
        <f t="shared" si="0"/>
        <v>1.1599999999999966</v>
      </c>
    </row>
    <row r="12" spans="1:5" x14ac:dyDescent="0.25">
      <c r="A12" t="s">
        <v>248</v>
      </c>
      <c r="C12">
        <v>337.61</v>
      </c>
      <c r="D12">
        <v>323.57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tabSelected="1" workbookViewId="0">
      <selection activeCell="J22" sqref="J22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54</v>
      </c>
      <c r="B1" t="s">
        <v>55</v>
      </c>
      <c r="C1" t="s">
        <v>56</v>
      </c>
      <c r="D1" t="s">
        <v>57</v>
      </c>
      <c r="E1" t="s">
        <v>133</v>
      </c>
      <c r="F1" t="s">
        <v>59</v>
      </c>
      <c r="G1" t="s">
        <v>134</v>
      </c>
      <c r="H1" t="s">
        <v>135</v>
      </c>
      <c r="I1" t="s">
        <v>136</v>
      </c>
      <c r="J1" t="s">
        <v>63</v>
      </c>
      <c r="K1" t="s">
        <v>64</v>
      </c>
      <c r="L1" t="s">
        <v>137</v>
      </c>
      <c r="M1" t="s">
        <v>138</v>
      </c>
      <c r="N1" t="s">
        <v>65</v>
      </c>
      <c r="O1" t="s">
        <v>66</v>
      </c>
      <c r="P1" t="s">
        <v>67</v>
      </c>
      <c r="Q1" t="s">
        <v>68</v>
      </c>
      <c r="R1" t="s">
        <v>139</v>
      </c>
      <c r="S1" t="s">
        <v>70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39</v>
      </c>
      <c r="AC1" t="s">
        <v>102</v>
      </c>
      <c r="AD1" t="s">
        <v>148</v>
      </c>
      <c r="AE1" t="s">
        <v>94</v>
      </c>
      <c r="AF1" t="s">
        <v>95</v>
      </c>
      <c r="AG1" t="s">
        <v>96</v>
      </c>
      <c r="AH1" t="s">
        <v>149</v>
      </c>
      <c r="AI1" t="s">
        <v>150</v>
      </c>
      <c r="AJ1" t="s">
        <v>151</v>
      </c>
      <c r="AK1" t="s">
        <v>152</v>
      </c>
      <c r="AL1" t="s">
        <v>153</v>
      </c>
      <c r="AM1" t="s">
        <v>154</v>
      </c>
      <c r="AN1" t="s">
        <v>155</v>
      </c>
      <c r="AO1" t="s">
        <v>156</v>
      </c>
      <c r="AP1" t="s">
        <v>157</v>
      </c>
      <c r="AQ1" t="s">
        <v>158</v>
      </c>
      <c r="AR1" t="s">
        <v>159</v>
      </c>
      <c r="AS1" t="s">
        <v>18</v>
      </c>
      <c r="AT1" t="s">
        <v>19</v>
      </c>
      <c r="AU1" t="s">
        <v>17</v>
      </c>
      <c r="AV1" t="s">
        <v>160</v>
      </c>
      <c r="AW1" t="s">
        <v>161</v>
      </c>
      <c r="AX1" t="s">
        <v>162</v>
      </c>
      <c r="AY1" t="s">
        <v>163</v>
      </c>
      <c r="AZ1" t="s">
        <v>164</v>
      </c>
      <c r="BA1" t="s">
        <v>165</v>
      </c>
      <c r="BB1" t="s">
        <v>166</v>
      </c>
      <c r="BC1" t="s">
        <v>167</v>
      </c>
      <c r="BD1" t="s">
        <v>168</v>
      </c>
      <c r="BE1" t="s">
        <v>169</v>
      </c>
      <c r="BF1" t="s">
        <v>170</v>
      </c>
      <c r="BG1" t="s">
        <v>171</v>
      </c>
      <c r="BH1" t="s">
        <v>172</v>
      </c>
      <c r="BI1" t="s">
        <v>173</v>
      </c>
    </row>
    <row r="2" spans="1:61" x14ac:dyDescent="0.25">
      <c r="A2" t="s">
        <v>14</v>
      </c>
      <c r="B2">
        <v>36</v>
      </c>
      <c r="C2">
        <v>38.46</v>
      </c>
      <c r="D2">
        <v>36</v>
      </c>
      <c r="E2">
        <v>1</v>
      </c>
      <c r="F2">
        <v>760.5</v>
      </c>
      <c r="G2">
        <v>234</v>
      </c>
      <c r="H2">
        <v>0</v>
      </c>
      <c r="I2">
        <v>0</v>
      </c>
      <c r="J2">
        <v>0.9375</v>
      </c>
      <c r="K2">
        <v>6.6666666666666693E-2</v>
      </c>
      <c r="L2">
        <v>0</v>
      </c>
      <c r="M2">
        <v>0</v>
      </c>
      <c r="N2">
        <v>0.24414976599064001</v>
      </c>
      <c r="O2">
        <v>58.5</v>
      </c>
      <c r="P2">
        <v>25</v>
      </c>
      <c r="Q2">
        <v>0</v>
      </c>
      <c r="R2">
        <v>0</v>
      </c>
      <c r="S2">
        <v>1078</v>
      </c>
      <c r="T2">
        <v>36</v>
      </c>
      <c r="U2">
        <v>234</v>
      </c>
      <c r="V2">
        <v>0</v>
      </c>
      <c r="W2">
        <v>0</v>
      </c>
      <c r="X2">
        <v>1</v>
      </c>
      <c r="Y2">
        <v>0</v>
      </c>
      <c r="Z2">
        <v>0</v>
      </c>
      <c r="AA2">
        <v>0</v>
      </c>
      <c r="AB2" s="64">
        <v>45642</v>
      </c>
      <c r="AC2" t="s">
        <v>384</v>
      </c>
      <c r="AD2">
        <v>0</v>
      </c>
      <c r="AE2">
        <v>10</v>
      </c>
      <c r="AF2">
        <v>38.81</v>
      </c>
      <c r="AG2">
        <v>0.35</v>
      </c>
      <c r="AH2">
        <v>10</v>
      </c>
      <c r="AI2">
        <v>0</v>
      </c>
      <c r="AJ2">
        <v>9.39</v>
      </c>
      <c r="AK2">
        <v>29.07</v>
      </c>
      <c r="AL2">
        <v>11.72</v>
      </c>
      <c r="AM2">
        <v>3.2</v>
      </c>
      <c r="AN2">
        <v>0.26</v>
      </c>
      <c r="AO2">
        <v>15</v>
      </c>
      <c r="AP2">
        <v>0</v>
      </c>
      <c r="AQ2">
        <v>1</v>
      </c>
      <c r="AR2">
        <v>0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36</v>
      </c>
      <c r="BG2">
        <v>0</v>
      </c>
      <c r="BH2">
        <v>36</v>
      </c>
      <c r="BI2">
        <v>153.53</v>
      </c>
    </row>
    <row r="3" spans="1:61" x14ac:dyDescent="0.25">
      <c r="A3" t="s">
        <v>14</v>
      </c>
      <c r="B3">
        <v>48</v>
      </c>
      <c r="C3">
        <v>49.86</v>
      </c>
      <c r="D3">
        <v>48</v>
      </c>
      <c r="E3">
        <v>1</v>
      </c>
      <c r="F3">
        <v>1014</v>
      </c>
      <c r="G3">
        <v>312</v>
      </c>
      <c r="H3">
        <v>0</v>
      </c>
      <c r="I3">
        <v>0</v>
      </c>
      <c r="J3">
        <v>1</v>
      </c>
      <c r="K3">
        <v>0.133333333333333</v>
      </c>
      <c r="L3">
        <v>0</v>
      </c>
      <c r="M3">
        <v>0</v>
      </c>
      <c r="N3">
        <v>0.15784195748094701</v>
      </c>
      <c r="O3">
        <v>78</v>
      </c>
      <c r="P3">
        <v>33.979999999999997</v>
      </c>
      <c r="Q3">
        <v>0</v>
      </c>
      <c r="R3">
        <v>0</v>
      </c>
      <c r="S3">
        <v>1437.98</v>
      </c>
      <c r="T3">
        <v>48</v>
      </c>
      <c r="U3">
        <v>312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s="64">
        <v>45642</v>
      </c>
      <c r="AC3" t="s">
        <v>115</v>
      </c>
      <c r="AD3">
        <v>0</v>
      </c>
      <c r="AE3">
        <v>13</v>
      </c>
      <c r="AF3">
        <v>49.96</v>
      </c>
      <c r="AG3">
        <v>0.1</v>
      </c>
      <c r="AH3">
        <v>13</v>
      </c>
      <c r="AI3">
        <v>0</v>
      </c>
      <c r="AJ3">
        <v>7.87</v>
      </c>
      <c r="AK3">
        <v>41.99</v>
      </c>
      <c r="AL3">
        <v>3.41</v>
      </c>
      <c r="AM3">
        <v>0.63</v>
      </c>
      <c r="AN3">
        <v>0.26</v>
      </c>
      <c r="AO3">
        <v>15</v>
      </c>
      <c r="AP3">
        <v>0</v>
      </c>
      <c r="AQ3">
        <v>2</v>
      </c>
      <c r="AR3">
        <v>0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48</v>
      </c>
      <c r="BG3">
        <v>0</v>
      </c>
      <c r="BH3">
        <v>48</v>
      </c>
      <c r="BI3">
        <v>146.93</v>
      </c>
    </row>
    <row r="4" spans="1:61" x14ac:dyDescent="0.25">
      <c r="A4" t="s">
        <v>14</v>
      </c>
      <c r="B4">
        <v>36</v>
      </c>
      <c r="C4">
        <v>37.03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0.201188225762895</v>
      </c>
      <c r="O4">
        <v>58.5</v>
      </c>
      <c r="P4">
        <v>24</v>
      </c>
      <c r="Q4">
        <v>0</v>
      </c>
      <c r="R4">
        <v>0</v>
      </c>
      <c r="S4">
        <v>1194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45642</v>
      </c>
      <c r="AC4" t="s">
        <v>382</v>
      </c>
      <c r="AD4">
        <v>0</v>
      </c>
      <c r="AE4">
        <v>13</v>
      </c>
      <c r="AF4">
        <v>37.03</v>
      </c>
      <c r="AG4">
        <v>0</v>
      </c>
      <c r="AH4">
        <v>13</v>
      </c>
      <c r="AI4">
        <v>0</v>
      </c>
      <c r="AJ4">
        <v>7.45</v>
      </c>
      <c r="AK4">
        <v>29.58</v>
      </c>
      <c r="AL4">
        <v>1.26</v>
      </c>
      <c r="AM4">
        <v>1.05</v>
      </c>
      <c r="AN4">
        <v>0.35</v>
      </c>
      <c r="AO4">
        <v>14</v>
      </c>
      <c r="AP4">
        <v>0</v>
      </c>
      <c r="AQ4">
        <v>0</v>
      </c>
      <c r="AR4">
        <v>37.03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128.1</v>
      </c>
    </row>
    <row r="5" spans="1:61" x14ac:dyDescent="0.25">
      <c r="A5" t="s">
        <v>14</v>
      </c>
      <c r="B5">
        <v>48</v>
      </c>
      <c r="C5">
        <v>50.1</v>
      </c>
      <c r="D5">
        <v>48</v>
      </c>
      <c r="E5">
        <v>1</v>
      </c>
      <c r="F5">
        <v>1014</v>
      </c>
      <c r="G5">
        <v>312</v>
      </c>
      <c r="H5">
        <v>0</v>
      </c>
      <c r="I5">
        <v>0</v>
      </c>
      <c r="J5">
        <v>1</v>
      </c>
      <c r="K5">
        <v>0</v>
      </c>
      <c r="L5">
        <v>156</v>
      </c>
      <c r="M5">
        <v>0</v>
      </c>
      <c r="N5">
        <v>0.24750499001995999</v>
      </c>
      <c r="O5">
        <v>78</v>
      </c>
      <c r="P5">
        <v>14</v>
      </c>
      <c r="Q5">
        <v>0</v>
      </c>
      <c r="R5">
        <v>0</v>
      </c>
      <c r="S5">
        <v>1574</v>
      </c>
      <c r="T5">
        <v>48</v>
      </c>
      <c r="U5">
        <v>312</v>
      </c>
      <c r="V5">
        <v>48</v>
      </c>
      <c r="W5">
        <v>0</v>
      </c>
      <c r="X5">
        <v>0</v>
      </c>
      <c r="Y5">
        <v>156</v>
      </c>
      <c r="Z5">
        <v>0</v>
      </c>
      <c r="AA5">
        <v>0</v>
      </c>
      <c r="AB5" s="64">
        <v>45642</v>
      </c>
      <c r="AC5" t="s">
        <v>207</v>
      </c>
      <c r="AD5">
        <v>0</v>
      </c>
      <c r="AE5">
        <v>16</v>
      </c>
      <c r="AF5">
        <v>50.15</v>
      </c>
      <c r="AG5">
        <v>0.05</v>
      </c>
      <c r="AH5">
        <v>16</v>
      </c>
      <c r="AI5">
        <v>0</v>
      </c>
      <c r="AJ5">
        <v>12.4</v>
      </c>
      <c r="AK5">
        <v>37.700000000000003</v>
      </c>
      <c r="AL5">
        <v>45.87</v>
      </c>
      <c r="AM5">
        <v>12.4</v>
      </c>
      <c r="AN5">
        <v>0.32</v>
      </c>
      <c r="AO5">
        <v>18</v>
      </c>
      <c r="AP5">
        <v>0</v>
      </c>
      <c r="AQ5">
        <v>0</v>
      </c>
      <c r="AR5">
        <v>50.1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177.79</v>
      </c>
    </row>
    <row r="6" spans="1:61" x14ac:dyDescent="0.25">
      <c r="A6" t="s">
        <v>15</v>
      </c>
      <c r="B6">
        <v>36</v>
      </c>
      <c r="C6">
        <v>32.57</v>
      </c>
      <c r="D6">
        <v>32.57</v>
      </c>
      <c r="E6">
        <v>0.90472222222222198</v>
      </c>
      <c r="F6">
        <v>688.0412</v>
      </c>
      <c r="G6">
        <v>0</v>
      </c>
      <c r="H6">
        <v>0</v>
      </c>
      <c r="I6">
        <v>52.926250000000003</v>
      </c>
      <c r="J6">
        <v>1</v>
      </c>
      <c r="K6">
        <v>0</v>
      </c>
      <c r="L6">
        <v>105.85250000000001</v>
      </c>
      <c r="M6">
        <v>0</v>
      </c>
      <c r="N6">
        <v>9.2416334049738993E-2</v>
      </c>
      <c r="O6">
        <v>52.926200000000001</v>
      </c>
      <c r="P6">
        <v>5</v>
      </c>
      <c r="Q6">
        <v>0</v>
      </c>
      <c r="R6">
        <v>0</v>
      </c>
      <c r="S6">
        <v>904.74620000000004</v>
      </c>
      <c r="T6">
        <v>36</v>
      </c>
      <c r="U6">
        <v>52.926200000000001</v>
      </c>
      <c r="V6">
        <v>32.57</v>
      </c>
      <c r="W6">
        <v>0</v>
      </c>
      <c r="X6">
        <v>0</v>
      </c>
      <c r="Y6">
        <v>105.85250000000001</v>
      </c>
      <c r="Z6">
        <v>0</v>
      </c>
      <c r="AA6">
        <v>0</v>
      </c>
      <c r="AB6" s="64">
        <v>45649</v>
      </c>
      <c r="AC6" t="s">
        <v>384</v>
      </c>
      <c r="AD6">
        <v>0</v>
      </c>
      <c r="AE6">
        <v>4</v>
      </c>
      <c r="AF6">
        <v>32.92</v>
      </c>
      <c r="AG6">
        <v>0.35</v>
      </c>
      <c r="AH6">
        <v>4</v>
      </c>
      <c r="AI6">
        <v>0</v>
      </c>
      <c r="AJ6">
        <v>3.01</v>
      </c>
      <c r="AK6">
        <v>29.56</v>
      </c>
      <c r="AL6">
        <v>11.7</v>
      </c>
      <c r="AM6">
        <v>1.65</v>
      </c>
      <c r="AN6">
        <v>0.12</v>
      </c>
      <c r="AO6">
        <v>5</v>
      </c>
      <c r="AP6">
        <v>0</v>
      </c>
      <c r="AQ6">
        <v>0</v>
      </c>
      <c r="AR6">
        <v>32.57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0</v>
      </c>
      <c r="BI6">
        <v>52.11</v>
      </c>
    </row>
    <row r="7" spans="1:61" x14ac:dyDescent="0.25">
      <c r="A7" t="s">
        <v>15</v>
      </c>
      <c r="B7">
        <v>39</v>
      </c>
      <c r="C7">
        <v>39.090000000000003</v>
      </c>
      <c r="D7">
        <v>39</v>
      </c>
      <c r="E7">
        <v>1</v>
      </c>
      <c r="F7">
        <v>823.875</v>
      </c>
      <c r="G7">
        <v>253.5</v>
      </c>
      <c r="H7">
        <v>0</v>
      </c>
      <c r="I7">
        <v>0</v>
      </c>
      <c r="J7">
        <v>1</v>
      </c>
      <c r="K7">
        <v>8.3333333333333301E-2</v>
      </c>
      <c r="L7">
        <v>0</v>
      </c>
      <c r="M7">
        <v>0</v>
      </c>
      <c r="N7">
        <v>0.13916602711691001</v>
      </c>
      <c r="O7">
        <v>63.375</v>
      </c>
      <c r="P7">
        <v>20.39</v>
      </c>
      <c r="Q7">
        <v>0</v>
      </c>
      <c r="R7">
        <v>0</v>
      </c>
      <c r="S7">
        <v>1161.1400000000001</v>
      </c>
      <c r="T7">
        <v>39</v>
      </c>
      <c r="U7">
        <v>253.5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64">
        <v>45649</v>
      </c>
      <c r="AC7" t="s">
        <v>115</v>
      </c>
      <c r="AD7">
        <v>0</v>
      </c>
      <c r="AE7">
        <v>8</v>
      </c>
      <c r="AF7">
        <v>39.090000000000003</v>
      </c>
      <c r="AG7">
        <v>0</v>
      </c>
      <c r="AH7">
        <v>8</v>
      </c>
      <c r="AI7">
        <v>0</v>
      </c>
      <c r="AJ7">
        <v>5.44</v>
      </c>
      <c r="AK7">
        <v>33.65</v>
      </c>
      <c r="AL7">
        <v>4.03</v>
      </c>
      <c r="AM7">
        <v>0.05</v>
      </c>
      <c r="AN7">
        <v>0.2</v>
      </c>
      <c r="AO7">
        <v>12</v>
      </c>
      <c r="AP7">
        <v>0</v>
      </c>
      <c r="AQ7">
        <v>1</v>
      </c>
      <c r="AR7">
        <v>0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39</v>
      </c>
      <c r="BG7">
        <v>0</v>
      </c>
      <c r="BH7">
        <v>39</v>
      </c>
      <c r="BI7">
        <v>108.48</v>
      </c>
    </row>
    <row r="8" spans="1:61" x14ac:dyDescent="0.25">
      <c r="A8" t="s">
        <v>15</v>
      </c>
      <c r="B8">
        <v>36</v>
      </c>
      <c r="C8">
        <v>37.159999999999997</v>
      </c>
      <c r="D8">
        <v>36</v>
      </c>
      <c r="E8">
        <v>1</v>
      </c>
      <c r="F8">
        <v>760.5</v>
      </c>
      <c r="G8">
        <v>234</v>
      </c>
      <c r="H8">
        <v>0</v>
      </c>
      <c r="I8">
        <v>0</v>
      </c>
      <c r="J8">
        <v>1</v>
      </c>
      <c r="K8">
        <v>0</v>
      </c>
      <c r="L8">
        <v>117</v>
      </c>
      <c r="M8">
        <v>0</v>
      </c>
      <c r="N8">
        <v>0.277448869752422</v>
      </c>
      <c r="O8">
        <v>58.5</v>
      </c>
      <c r="P8">
        <v>44.66</v>
      </c>
      <c r="Q8">
        <v>0</v>
      </c>
      <c r="R8">
        <v>0</v>
      </c>
      <c r="S8">
        <v>1214.6600000000001</v>
      </c>
      <c r="T8">
        <v>36</v>
      </c>
      <c r="U8">
        <v>234</v>
      </c>
      <c r="V8">
        <v>36</v>
      </c>
      <c r="W8">
        <v>0</v>
      </c>
      <c r="X8">
        <v>0</v>
      </c>
      <c r="Y8">
        <v>117</v>
      </c>
      <c r="Z8">
        <v>0</v>
      </c>
      <c r="AA8">
        <v>0</v>
      </c>
      <c r="AB8" s="64">
        <v>45649</v>
      </c>
      <c r="AC8" t="s">
        <v>382</v>
      </c>
      <c r="AD8">
        <v>0</v>
      </c>
      <c r="AE8">
        <v>13</v>
      </c>
      <c r="AF8">
        <v>37.159999999999997</v>
      </c>
      <c r="AG8">
        <v>0</v>
      </c>
      <c r="AH8">
        <v>13</v>
      </c>
      <c r="AI8">
        <v>0</v>
      </c>
      <c r="AJ8">
        <v>10.31</v>
      </c>
      <c r="AK8">
        <v>26.85</v>
      </c>
      <c r="AL8">
        <v>1.23</v>
      </c>
      <c r="AM8">
        <v>0</v>
      </c>
      <c r="AN8">
        <v>0.35</v>
      </c>
      <c r="AO8">
        <v>16</v>
      </c>
      <c r="AP8">
        <v>0</v>
      </c>
      <c r="AQ8">
        <v>0</v>
      </c>
      <c r="AR8">
        <v>37.159999999999997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36</v>
      </c>
      <c r="BG8">
        <v>0</v>
      </c>
      <c r="BH8">
        <v>0</v>
      </c>
      <c r="BI8">
        <v>143.88</v>
      </c>
    </row>
    <row r="9" spans="1:61" x14ac:dyDescent="0.25">
      <c r="A9" t="s">
        <v>15</v>
      </c>
      <c r="B9">
        <v>48</v>
      </c>
      <c r="C9">
        <v>53.34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0.19553805774278199</v>
      </c>
      <c r="O9">
        <v>78</v>
      </c>
      <c r="P9">
        <v>37</v>
      </c>
      <c r="Q9">
        <v>0</v>
      </c>
      <c r="R9">
        <v>0</v>
      </c>
      <c r="S9">
        <v>1597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45649</v>
      </c>
      <c r="AC9" t="s">
        <v>207</v>
      </c>
      <c r="AD9">
        <v>0</v>
      </c>
      <c r="AE9">
        <v>13</v>
      </c>
      <c r="AF9">
        <v>53.39</v>
      </c>
      <c r="AG9">
        <v>0.05</v>
      </c>
      <c r="AH9">
        <v>13</v>
      </c>
      <c r="AI9">
        <v>0</v>
      </c>
      <c r="AJ9">
        <v>10.43</v>
      </c>
      <c r="AK9">
        <v>42.91</v>
      </c>
      <c r="AL9">
        <v>44.96</v>
      </c>
      <c r="AM9">
        <v>10.43</v>
      </c>
      <c r="AN9">
        <v>0.24</v>
      </c>
      <c r="AO9">
        <v>15</v>
      </c>
      <c r="AP9">
        <v>0</v>
      </c>
      <c r="AQ9">
        <v>0</v>
      </c>
      <c r="AR9">
        <v>53.34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168.98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J29" sqref="J2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39</v>
      </c>
      <c r="B1" t="s">
        <v>92</v>
      </c>
      <c r="C1" t="s">
        <v>93</v>
      </c>
      <c r="D1" t="s">
        <v>94</v>
      </c>
      <c r="E1" t="s">
        <v>63</v>
      </c>
      <c r="F1" t="s">
        <v>64</v>
      </c>
      <c r="G1" t="s">
        <v>95</v>
      </c>
      <c r="H1" t="s">
        <v>96</v>
      </c>
      <c r="I1" t="s">
        <v>56</v>
      </c>
      <c r="J1" t="s">
        <v>97</v>
      </c>
      <c r="K1" t="s">
        <v>98</v>
      </c>
      <c r="L1" t="s">
        <v>68</v>
      </c>
      <c r="M1" t="s">
        <v>174</v>
      </c>
      <c r="N1" t="s">
        <v>149</v>
      </c>
      <c r="O1" t="s">
        <v>150</v>
      </c>
      <c r="P1" t="s">
        <v>151</v>
      </c>
      <c r="Q1" t="s">
        <v>175</v>
      </c>
      <c r="R1" t="s">
        <v>152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54</v>
      </c>
      <c r="AC1" t="s">
        <v>18</v>
      </c>
      <c r="AD1" t="s">
        <v>19</v>
      </c>
      <c r="AE1" t="s">
        <v>159</v>
      </c>
      <c r="AF1" t="s">
        <v>185</v>
      </c>
      <c r="AG1" t="s">
        <v>102</v>
      </c>
      <c r="AH1" t="s">
        <v>17</v>
      </c>
    </row>
    <row r="2" spans="1:34" x14ac:dyDescent="0.25">
      <c r="A2" s="64">
        <v>45642</v>
      </c>
      <c r="B2" t="s">
        <v>351</v>
      </c>
      <c r="C2" t="s">
        <v>352</v>
      </c>
      <c r="D2">
        <v>10</v>
      </c>
      <c r="E2">
        <v>0.9375</v>
      </c>
      <c r="F2">
        <v>6.6666666666666666E-2</v>
      </c>
      <c r="G2">
        <v>38.81</v>
      </c>
      <c r="H2">
        <v>0.35</v>
      </c>
      <c r="I2">
        <v>38.46</v>
      </c>
      <c r="J2">
        <v>153.53</v>
      </c>
      <c r="K2">
        <v>25</v>
      </c>
      <c r="L2">
        <v>0</v>
      </c>
      <c r="M2" t="s">
        <v>353</v>
      </c>
      <c r="N2">
        <v>10</v>
      </c>
      <c r="O2">
        <v>0</v>
      </c>
      <c r="P2">
        <v>9.39</v>
      </c>
      <c r="Q2">
        <v>1</v>
      </c>
      <c r="R2">
        <v>29.07</v>
      </c>
      <c r="S2">
        <v>11.72</v>
      </c>
      <c r="T2">
        <v>3.2</v>
      </c>
      <c r="U2">
        <v>0.26</v>
      </c>
      <c r="V2">
        <v>15</v>
      </c>
      <c r="W2">
        <v>0</v>
      </c>
      <c r="X2">
        <v>1</v>
      </c>
      <c r="Y2">
        <v>0</v>
      </c>
      <c r="Z2">
        <v>0</v>
      </c>
      <c r="AA2">
        <v>38.46</v>
      </c>
      <c r="AB2" t="s">
        <v>14</v>
      </c>
      <c r="AC2">
        <v>0.1</v>
      </c>
      <c r="AD2">
        <v>0.05</v>
      </c>
      <c r="AE2">
        <v>0</v>
      </c>
      <c r="AF2" t="s">
        <v>119</v>
      </c>
      <c r="AG2" t="s">
        <v>384</v>
      </c>
      <c r="AH2">
        <v>0</v>
      </c>
    </row>
    <row r="3" spans="1:34" x14ac:dyDescent="0.25">
      <c r="A3" s="64">
        <v>45649</v>
      </c>
      <c r="B3" t="s">
        <v>351</v>
      </c>
      <c r="C3" t="s">
        <v>352</v>
      </c>
      <c r="D3">
        <v>4</v>
      </c>
      <c r="E3">
        <v>1</v>
      </c>
      <c r="F3">
        <v>0</v>
      </c>
      <c r="G3">
        <v>32.92</v>
      </c>
      <c r="H3">
        <v>0.35</v>
      </c>
      <c r="I3">
        <v>32.57</v>
      </c>
      <c r="J3">
        <v>52.11</v>
      </c>
      <c r="K3">
        <v>5</v>
      </c>
      <c r="L3">
        <v>0</v>
      </c>
      <c r="M3" t="s">
        <v>353</v>
      </c>
      <c r="N3">
        <v>4</v>
      </c>
      <c r="O3">
        <v>0</v>
      </c>
      <c r="P3">
        <v>3.01</v>
      </c>
      <c r="Q3">
        <v>0</v>
      </c>
      <c r="R3">
        <v>29.56</v>
      </c>
      <c r="S3">
        <v>11.7</v>
      </c>
      <c r="T3">
        <v>1.65</v>
      </c>
      <c r="U3">
        <v>0.12</v>
      </c>
      <c r="V3">
        <v>5</v>
      </c>
      <c r="W3">
        <v>0</v>
      </c>
      <c r="X3">
        <v>0</v>
      </c>
      <c r="Y3">
        <v>32.57</v>
      </c>
      <c r="Z3">
        <v>0</v>
      </c>
      <c r="AA3">
        <v>0</v>
      </c>
      <c r="AB3" t="s">
        <v>15</v>
      </c>
      <c r="AC3">
        <v>0.1</v>
      </c>
      <c r="AD3">
        <v>0.05</v>
      </c>
      <c r="AE3">
        <v>32.57</v>
      </c>
      <c r="AF3" t="s">
        <v>119</v>
      </c>
      <c r="AG3" t="s">
        <v>384</v>
      </c>
      <c r="AH3">
        <v>0</v>
      </c>
    </row>
    <row r="4" spans="1:34" x14ac:dyDescent="0.25">
      <c r="A4" s="64">
        <v>45642</v>
      </c>
      <c r="B4" t="s">
        <v>354</v>
      </c>
      <c r="C4" t="s">
        <v>355</v>
      </c>
      <c r="D4">
        <v>13</v>
      </c>
      <c r="E4">
        <v>1</v>
      </c>
      <c r="F4">
        <v>0.13333333333333333</v>
      </c>
      <c r="G4">
        <v>49.96</v>
      </c>
      <c r="H4">
        <v>0.1</v>
      </c>
      <c r="I4">
        <v>49.86</v>
      </c>
      <c r="J4">
        <v>146.93</v>
      </c>
      <c r="K4">
        <v>33.979999999999997</v>
      </c>
      <c r="L4">
        <v>0</v>
      </c>
      <c r="M4" t="s">
        <v>356</v>
      </c>
      <c r="N4">
        <v>13</v>
      </c>
      <c r="O4">
        <v>0</v>
      </c>
      <c r="P4">
        <v>7.87</v>
      </c>
      <c r="Q4">
        <v>0</v>
      </c>
      <c r="R4">
        <v>41.99</v>
      </c>
      <c r="S4">
        <v>3.41</v>
      </c>
      <c r="T4">
        <v>0.63</v>
      </c>
      <c r="U4">
        <v>0.26</v>
      </c>
      <c r="V4">
        <v>15</v>
      </c>
      <c r="W4">
        <v>0</v>
      </c>
      <c r="X4">
        <v>2</v>
      </c>
      <c r="Y4">
        <v>0</v>
      </c>
      <c r="Z4">
        <v>0</v>
      </c>
      <c r="AA4">
        <v>49.86</v>
      </c>
      <c r="AB4" t="s">
        <v>14</v>
      </c>
      <c r="AC4">
        <v>0.1</v>
      </c>
      <c r="AD4">
        <v>0.05</v>
      </c>
      <c r="AE4">
        <v>0</v>
      </c>
      <c r="AF4" t="s">
        <v>116</v>
      </c>
      <c r="AG4" t="s">
        <v>115</v>
      </c>
      <c r="AH4">
        <v>0</v>
      </c>
    </row>
    <row r="5" spans="1:34" x14ac:dyDescent="0.25">
      <c r="A5" s="64">
        <v>45649</v>
      </c>
      <c r="B5" t="s">
        <v>354</v>
      </c>
      <c r="C5" t="s">
        <v>355</v>
      </c>
      <c r="D5">
        <v>8</v>
      </c>
      <c r="E5">
        <v>1</v>
      </c>
      <c r="F5">
        <v>8.3333333333333329E-2</v>
      </c>
      <c r="G5">
        <v>39.090000000000003</v>
      </c>
      <c r="H5">
        <v>0</v>
      </c>
      <c r="I5">
        <v>39.090000000000003</v>
      </c>
      <c r="J5">
        <v>108.48</v>
      </c>
      <c r="K5">
        <v>20.39</v>
      </c>
      <c r="L5">
        <v>0</v>
      </c>
      <c r="M5" t="s">
        <v>356</v>
      </c>
      <c r="N5">
        <v>8</v>
      </c>
      <c r="O5">
        <v>0</v>
      </c>
      <c r="P5">
        <v>5.44</v>
      </c>
      <c r="Q5">
        <v>0</v>
      </c>
      <c r="R5">
        <v>33.65</v>
      </c>
      <c r="S5">
        <v>4.03</v>
      </c>
      <c r="T5">
        <v>0.05</v>
      </c>
      <c r="U5">
        <v>0.2</v>
      </c>
      <c r="V5">
        <v>12</v>
      </c>
      <c r="W5">
        <v>0</v>
      </c>
      <c r="X5">
        <v>1</v>
      </c>
      <c r="Y5">
        <v>0</v>
      </c>
      <c r="Z5">
        <v>0</v>
      </c>
      <c r="AA5">
        <v>39.090000000000003</v>
      </c>
      <c r="AB5" t="s">
        <v>15</v>
      </c>
      <c r="AC5">
        <v>0.1</v>
      </c>
      <c r="AD5">
        <v>0.05</v>
      </c>
      <c r="AE5">
        <v>0</v>
      </c>
      <c r="AF5" t="s">
        <v>116</v>
      </c>
      <c r="AG5" t="s">
        <v>115</v>
      </c>
      <c r="AH5">
        <v>0</v>
      </c>
    </row>
    <row r="6" spans="1:34" x14ac:dyDescent="0.25">
      <c r="A6" s="64">
        <v>45642</v>
      </c>
      <c r="B6" t="s">
        <v>336</v>
      </c>
      <c r="C6" t="s">
        <v>337</v>
      </c>
      <c r="D6">
        <v>16</v>
      </c>
      <c r="E6">
        <v>1</v>
      </c>
      <c r="F6">
        <v>0</v>
      </c>
      <c r="G6">
        <v>50.15</v>
      </c>
      <c r="H6">
        <v>0.05</v>
      </c>
      <c r="I6">
        <v>50.1</v>
      </c>
      <c r="J6">
        <v>177.79</v>
      </c>
      <c r="K6">
        <v>14</v>
      </c>
      <c r="L6">
        <v>0</v>
      </c>
      <c r="M6" t="s">
        <v>357</v>
      </c>
      <c r="N6">
        <v>16</v>
      </c>
      <c r="O6">
        <v>0</v>
      </c>
      <c r="P6">
        <v>12.4</v>
      </c>
      <c r="Q6">
        <v>0</v>
      </c>
      <c r="R6">
        <v>37.700000000000003</v>
      </c>
      <c r="S6">
        <v>45.87</v>
      </c>
      <c r="T6">
        <v>12.4</v>
      </c>
      <c r="U6">
        <v>0.32</v>
      </c>
      <c r="V6">
        <v>18</v>
      </c>
      <c r="W6">
        <v>0</v>
      </c>
      <c r="X6">
        <v>0</v>
      </c>
      <c r="Y6">
        <v>50.1</v>
      </c>
      <c r="Z6">
        <v>0</v>
      </c>
      <c r="AA6">
        <v>0</v>
      </c>
      <c r="AB6" t="s">
        <v>14</v>
      </c>
      <c r="AC6">
        <v>0.1</v>
      </c>
      <c r="AD6">
        <v>0.05</v>
      </c>
      <c r="AE6">
        <v>50.1</v>
      </c>
      <c r="AF6" t="s">
        <v>338</v>
      </c>
      <c r="AG6" t="s">
        <v>207</v>
      </c>
      <c r="AH6">
        <v>0</v>
      </c>
    </row>
    <row r="7" spans="1:34" x14ac:dyDescent="0.25">
      <c r="A7" s="64">
        <v>45649</v>
      </c>
      <c r="B7" t="s">
        <v>336</v>
      </c>
      <c r="C7" t="s">
        <v>337</v>
      </c>
      <c r="D7">
        <v>13</v>
      </c>
      <c r="E7">
        <v>1</v>
      </c>
      <c r="F7">
        <v>0</v>
      </c>
      <c r="G7">
        <v>53.39</v>
      </c>
      <c r="H7">
        <v>0.05</v>
      </c>
      <c r="I7">
        <v>53.34</v>
      </c>
      <c r="J7">
        <v>168.98</v>
      </c>
      <c r="K7">
        <v>37</v>
      </c>
      <c r="L7">
        <v>0</v>
      </c>
      <c r="M7" t="s">
        <v>357</v>
      </c>
      <c r="N7">
        <v>13</v>
      </c>
      <c r="O7">
        <v>0</v>
      </c>
      <c r="P7">
        <v>10.43</v>
      </c>
      <c r="Q7">
        <v>0</v>
      </c>
      <c r="R7">
        <v>42.91</v>
      </c>
      <c r="S7">
        <v>44.96</v>
      </c>
      <c r="T7">
        <v>10.43</v>
      </c>
      <c r="U7">
        <v>0.24</v>
      </c>
      <c r="V7">
        <v>15</v>
      </c>
      <c r="W7">
        <v>0</v>
      </c>
      <c r="X7">
        <v>0</v>
      </c>
      <c r="Y7">
        <v>53.34</v>
      </c>
      <c r="Z7">
        <v>0</v>
      </c>
      <c r="AA7">
        <v>0</v>
      </c>
      <c r="AB7" t="s">
        <v>15</v>
      </c>
      <c r="AC7">
        <v>0.1</v>
      </c>
      <c r="AD7">
        <v>0.05</v>
      </c>
      <c r="AE7">
        <v>53.34</v>
      </c>
      <c r="AF7" t="s">
        <v>338</v>
      </c>
      <c r="AG7" t="s">
        <v>207</v>
      </c>
      <c r="AH7">
        <v>0</v>
      </c>
    </row>
    <row r="8" spans="1:34" x14ac:dyDescent="0.25">
      <c r="A8" s="64">
        <v>45642</v>
      </c>
      <c r="B8" t="s">
        <v>358</v>
      </c>
      <c r="C8" t="s">
        <v>359</v>
      </c>
      <c r="D8">
        <v>13</v>
      </c>
      <c r="E8">
        <v>1</v>
      </c>
      <c r="F8">
        <v>0</v>
      </c>
      <c r="G8">
        <v>37.03</v>
      </c>
      <c r="H8">
        <v>0</v>
      </c>
      <c r="I8">
        <v>37.03</v>
      </c>
      <c r="J8">
        <v>128.1</v>
      </c>
      <c r="K8">
        <v>24</v>
      </c>
      <c r="L8">
        <v>0</v>
      </c>
      <c r="M8" t="s">
        <v>360</v>
      </c>
      <c r="N8">
        <v>13</v>
      </c>
      <c r="O8">
        <v>0</v>
      </c>
      <c r="P8">
        <v>7.45</v>
      </c>
      <c r="Q8">
        <v>0</v>
      </c>
      <c r="R8">
        <v>29.58</v>
      </c>
      <c r="S8">
        <v>1.26</v>
      </c>
      <c r="T8">
        <v>1.05</v>
      </c>
      <c r="U8">
        <v>0.35</v>
      </c>
      <c r="V8">
        <v>14</v>
      </c>
      <c r="W8">
        <v>0</v>
      </c>
      <c r="X8">
        <v>0</v>
      </c>
      <c r="Y8">
        <v>37.03</v>
      </c>
      <c r="Z8">
        <v>0</v>
      </c>
      <c r="AA8">
        <v>0</v>
      </c>
      <c r="AB8" t="s">
        <v>14</v>
      </c>
      <c r="AC8">
        <v>0.1</v>
      </c>
      <c r="AD8">
        <v>0.05</v>
      </c>
      <c r="AE8">
        <v>37.03</v>
      </c>
      <c r="AF8" t="s">
        <v>51</v>
      </c>
      <c r="AG8" t="s">
        <v>382</v>
      </c>
      <c r="AH8">
        <v>0</v>
      </c>
    </row>
    <row r="9" spans="1:34" x14ac:dyDescent="0.25">
      <c r="A9" s="64">
        <v>45649</v>
      </c>
      <c r="B9" t="s">
        <v>358</v>
      </c>
      <c r="C9" t="s">
        <v>359</v>
      </c>
      <c r="D9">
        <v>13</v>
      </c>
      <c r="E9">
        <v>1</v>
      </c>
      <c r="F9">
        <v>0</v>
      </c>
      <c r="G9">
        <v>37.159999999999997</v>
      </c>
      <c r="H9">
        <v>0</v>
      </c>
      <c r="I9">
        <v>37.159999999999997</v>
      </c>
      <c r="J9">
        <v>143.88</v>
      </c>
      <c r="K9">
        <v>44.66</v>
      </c>
      <c r="L9">
        <v>0</v>
      </c>
      <c r="M9" t="s">
        <v>360</v>
      </c>
      <c r="N9">
        <v>13</v>
      </c>
      <c r="O9">
        <v>0</v>
      </c>
      <c r="P9">
        <v>10.31</v>
      </c>
      <c r="Q9">
        <v>0</v>
      </c>
      <c r="R9">
        <v>26.85</v>
      </c>
      <c r="S9">
        <v>1.23</v>
      </c>
      <c r="T9">
        <v>0</v>
      </c>
      <c r="U9">
        <v>0.35</v>
      </c>
      <c r="V9">
        <v>16</v>
      </c>
      <c r="W9">
        <v>0</v>
      </c>
      <c r="X9">
        <v>0</v>
      </c>
      <c r="Y9">
        <v>37.159999999999997</v>
      </c>
      <c r="Z9">
        <v>0</v>
      </c>
      <c r="AA9">
        <v>0</v>
      </c>
      <c r="AB9" t="s">
        <v>15</v>
      </c>
      <c r="AC9">
        <v>0.1</v>
      </c>
      <c r="AD9">
        <v>0.05</v>
      </c>
      <c r="AE9">
        <v>37.159999999999997</v>
      </c>
      <c r="AF9" t="s">
        <v>51</v>
      </c>
      <c r="AG9" t="s">
        <v>382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49"/>
  <sheetViews>
    <sheetView showGridLines="0" topLeftCell="A5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3.8554687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186</v>
      </c>
      <c r="B1" t="s">
        <v>187</v>
      </c>
      <c r="C1" t="s">
        <v>188</v>
      </c>
      <c r="D1" t="s">
        <v>189</v>
      </c>
      <c r="E1" t="s">
        <v>91</v>
      </c>
      <c r="F1" t="s">
        <v>190</v>
      </c>
    </row>
    <row r="2" spans="1:6" x14ac:dyDescent="0.25">
      <c r="A2" s="64">
        <v>45642</v>
      </c>
      <c r="B2" t="s">
        <v>253</v>
      </c>
      <c r="C2" t="s">
        <v>361</v>
      </c>
      <c r="D2" t="s">
        <v>339</v>
      </c>
      <c r="E2">
        <v>5.6</v>
      </c>
      <c r="F2" t="s">
        <v>385</v>
      </c>
    </row>
    <row r="3" spans="1:6" x14ac:dyDescent="0.25">
      <c r="A3" s="64">
        <v>45643</v>
      </c>
      <c r="B3" t="s">
        <v>252</v>
      </c>
      <c r="C3" t="s">
        <v>361</v>
      </c>
      <c r="D3" t="s">
        <v>340</v>
      </c>
      <c r="E3">
        <v>5.6</v>
      </c>
      <c r="F3" t="s">
        <v>386</v>
      </c>
    </row>
    <row r="4" spans="1:6" x14ac:dyDescent="0.25">
      <c r="A4" s="64">
        <v>45644</v>
      </c>
      <c r="B4" t="s">
        <v>252</v>
      </c>
      <c r="C4" t="s">
        <v>361</v>
      </c>
      <c r="D4" t="s">
        <v>340</v>
      </c>
      <c r="E4">
        <v>5.6</v>
      </c>
      <c r="F4" t="s">
        <v>386</v>
      </c>
    </row>
    <row r="5" spans="1:6" x14ac:dyDescent="0.25">
      <c r="A5" s="64">
        <v>45645</v>
      </c>
      <c r="B5" t="s">
        <v>252</v>
      </c>
      <c r="C5" t="s">
        <v>361</v>
      </c>
      <c r="D5" t="s">
        <v>340</v>
      </c>
      <c r="E5">
        <v>14</v>
      </c>
      <c r="F5" t="s">
        <v>386</v>
      </c>
    </row>
    <row r="6" spans="1:6" x14ac:dyDescent="0.25">
      <c r="A6" s="64">
        <v>45642</v>
      </c>
      <c r="B6" t="s">
        <v>202</v>
      </c>
      <c r="C6" t="s">
        <v>361</v>
      </c>
      <c r="D6" t="s">
        <v>203</v>
      </c>
      <c r="E6">
        <v>5.6</v>
      </c>
      <c r="F6" t="s">
        <v>204</v>
      </c>
    </row>
    <row r="7" spans="1:6" x14ac:dyDescent="0.25">
      <c r="A7" s="64">
        <v>45643</v>
      </c>
      <c r="B7" t="s">
        <v>202</v>
      </c>
      <c r="C7" t="s">
        <v>361</v>
      </c>
      <c r="D7" t="s">
        <v>203</v>
      </c>
      <c r="E7">
        <v>8.3999999999999986</v>
      </c>
      <c r="F7" t="s">
        <v>204</v>
      </c>
    </row>
    <row r="8" spans="1:6" x14ac:dyDescent="0.25">
      <c r="A8" s="64">
        <v>45644</v>
      </c>
      <c r="B8" t="s">
        <v>202</v>
      </c>
      <c r="C8" t="s">
        <v>361</v>
      </c>
      <c r="D8" t="s">
        <v>203</v>
      </c>
      <c r="E8">
        <v>11.2</v>
      </c>
      <c r="F8" t="s">
        <v>204</v>
      </c>
    </row>
    <row r="9" spans="1:6" x14ac:dyDescent="0.25">
      <c r="A9" s="64">
        <v>45642</v>
      </c>
      <c r="B9" t="s">
        <v>191</v>
      </c>
      <c r="C9" t="s">
        <v>361</v>
      </c>
      <c r="D9" t="s">
        <v>192</v>
      </c>
      <c r="E9">
        <v>2.8</v>
      </c>
      <c r="F9" t="s">
        <v>112</v>
      </c>
    </row>
    <row r="10" spans="1:6" x14ac:dyDescent="0.25">
      <c r="A10" s="64">
        <v>45643</v>
      </c>
      <c r="B10" t="s">
        <v>191</v>
      </c>
      <c r="C10" t="s">
        <v>361</v>
      </c>
      <c r="D10" t="s">
        <v>192</v>
      </c>
      <c r="E10">
        <v>5.6</v>
      </c>
      <c r="F10" t="s">
        <v>112</v>
      </c>
    </row>
    <row r="11" spans="1:6" x14ac:dyDescent="0.25">
      <c r="A11" s="64">
        <v>45644</v>
      </c>
      <c r="B11" t="s">
        <v>191</v>
      </c>
      <c r="C11" t="s">
        <v>361</v>
      </c>
      <c r="D11" t="s">
        <v>192</v>
      </c>
      <c r="E11">
        <v>5.6</v>
      </c>
      <c r="F11" t="s">
        <v>112</v>
      </c>
    </row>
    <row r="12" spans="1:6" x14ac:dyDescent="0.25">
      <c r="A12" s="64">
        <v>45645</v>
      </c>
      <c r="B12" t="s">
        <v>191</v>
      </c>
      <c r="C12" t="s">
        <v>361</v>
      </c>
      <c r="D12" t="s">
        <v>192</v>
      </c>
      <c r="E12">
        <v>14</v>
      </c>
      <c r="F12" t="s">
        <v>112</v>
      </c>
    </row>
    <row r="13" spans="1:6" x14ac:dyDescent="0.25">
      <c r="A13" s="64">
        <v>45642</v>
      </c>
      <c r="B13" t="s">
        <v>196</v>
      </c>
      <c r="C13" t="s">
        <v>361</v>
      </c>
      <c r="D13" t="s">
        <v>197</v>
      </c>
      <c r="E13">
        <v>2.8</v>
      </c>
      <c r="F13" t="s">
        <v>198</v>
      </c>
    </row>
    <row r="14" spans="1:6" x14ac:dyDescent="0.25">
      <c r="A14" s="64">
        <v>45643</v>
      </c>
      <c r="B14" t="s">
        <v>196</v>
      </c>
      <c r="C14" t="s">
        <v>361</v>
      </c>
      <c r="D14" t="s">
        <v>197</v>
      </c>
      <c r="E14">
        <v>2.8</v>
      </c>
      <c r="F14" t="s">
        <v>198</v>
      </c>
    </row>
    <row r="15" spans="1:6" x14ac:dyDescent="0.25">
      <c r="A15" s="64">
        <v>45644</v>
      </c>
      <c r="B15" t="s">
        <v>196</v>
      </c>
      <c r="C15" t="s">
        <v>361</v>
      </c>
      <c r="D15" t="s">
        <v>197</v>
      </c>
      <c r="E15">
        <v>2.8</v>
      </c>
      <c r="F15" t="s">
        <v>198</v>
      </c>
    </row>
    <row r="16" spans="1:6" x14ac:dyDescent="0.25">
      <c r="A16" s="64">
        <v>45643</v>
      </c>
      <c r="B16" t="s">
        <v>193</v>
      </c>
      <c r="C16" t="s">
        <v>361</v>
      </c>
      <c r="D16" t="s">
        <v>194</v>
      </c>
      <c r="E16">
        <v>2.8</v>
      </c>
      <c r="F16" t="s">
        <v>195</v>
      </c>
    </row>
    <row r="17" spans="1:6" x14ac:dyDescent="0.25">
      <c r="A17" s="64">
        <v>45644</v>
      </c>
      <c r="B17" t="s">
        <v>205</v>
      </c>
      <c r="C17" t="s">
        <v>361</v>
      </c>
      <c r="D17" t="s">
        <v>206</v>
      </c>
      <c r="E17">
        <v>2.8</v>
      </c>
      <c r="F17" t="s">
        <v>344</v>
      </c>
    </row>
    <row r="18" spans="1:6" x14ac:dyDescent="0.25">
      <c r="A18" s="64">
        <v>45645</v>
      </c>
      <c r="B18" t="s">
        <v>205</v>
      </c>
      <c r="C18" t="s">
        <v>361</v>
      </c>
      <c r="D18" t="s">
        <v>206</v>
      </c>
      <c r="E18">
        <v>5.6</v>
      </c>
      <c r="F18" t="s">
        <v>344</v>
      </c>
    </row>
    <row r="19" spans="1:6" x14ac:dyDescent="0.25">
      <c r="A19" s="64">
        <v>45644</v>
      </c>
      <c r="B19" t="s">
        <v>350</v>
      </c>
      <c r="C19" t="s">
        <v>361</v>
      </c>
      <c r="D19" t="s">
        <v>381</v>
      </c>
      <c r="E19">
        <v>2.8</v>
      </c>
      <c r="F19" t="s">
        <v>348</v>
      </c>
    </row>
    <row r="20" spans="1:6" x14ac:dyDescent="0.25">
      <c r="A20" s="64">
        <v>45645</v>
      </c>
      <c r="B20" t="s">
        <v>350</v>
      </c>
      <c r="C20" t="s">
        <v>361</v>
      </c>
      <c r="D20" t="s">
        <v>381</v>
      </c>
      <c r="E20">
        <v>2.8</v>
      </c>
      <c r="F20" t="s">
        <v>348</v>
      </c>
    </row>
    <row r="21" spans="1:6" x14ac:dyDescent="0.25">
      <c r="A21" s="64">
        <v>45645</v>
      </c>
      <c r="B21" t="s">
        <v>196</v>
      </c>
      <c r="C21" t="s">
        <v>361</v>
      </c>
      <c r="D21" t="s">
        <v>197</v>
      </c>
      <c r="E21">
        <v>2.8</v>
      </c>
      <c r="F21" t="s">
        <v>198</v>
      </c>
    </row>
    <row r="22" spans="1:6" x14ac:dyDescent="0.25">
      <c r="A22" s="64">
        <v>45646</v>
      </c>
      <c r="B22" t="s">
        <v>191</v>
      </c>
      <c r="C22" t="s">
        <v>361</v>
      </c>
      <c r="D22" t="s">
        <v>192</v>
      </c>
      <c r="E22">
        <v>5.6</v>
      </c>
      <c r="F22" t="s">
        <v>112</v>
      </c>
    </row>
    <row r="23" spans="1:6" x14ac:dyDescent="0.25">
      <c r="A23" s="64">
        <v>45646</v>
      </c>
      <c r="B23" t="s">
        <v>253</v>
      </c>
      <c r="C23" t="s">
        <v>361</v>
      </c>
      <c r="D23" t="s">
        <v>339</v>
      </c>
      <c r="E23">
        <v>2.8</v>
      </c>
      <c r="F23" t="s">
        <v>385</v>
      </c>
    </row>
    <row r="24" spans="1:6" x14ac:dyDescent="0.25">
      <c r="A24" s="64">
        <v>45646</v>
      </c>
      <c r="B24" t="s">
        <v>202</v>
      </c>
      <c r="C24" t="s">
        <v>361</v>
      </c>
      <c r="D24" t="s">
        <v>203</v>
      </c>
      <c r="E24">
        <v>5.6</v>
      </c>
      <c r="F24" t="s">
        <v>204</v>
      </c>
    </row>
    <row r="25" spans="1:6" x14ac:dyDescent="0.25">
      <c r="A25" s="64">
        <v>45646</v>
      </c>
      <c r="B25" t="s">
        <v>205</v>
      </c>
      <c r="C25" t="s">
        <v>361</v>
      </c>
      <c r="D25" t="s">
        <v>206</v>
      </c>
      <c r="E25">
        <v>5.6</v>
      </c>
      <c r="F25" t="s">
        <v>344</v>
      </c>
    </row>
    <row r="26" spans="1:6" x14ac:dyDescent="0.25">
      <c r="A26" s="64">
        <v>45646</v>
      </c>
      <c r="B26" t="s">
        <v>211</v>
      </c>
      <c r="C26" t="s">
        <v>361</v>
      </c>
      <c r="D26" t="s">
        <v>212</v>
      </c>
      <c r="E26">
        <v>11.2</v>
      </c>
      <c r="F26" t="s">
        <v>213</v>
      </c>
    </row>
    <row r="27" spans="1:6" x14ac:dyDescent="0.25">
      <c r="A27" s="64">
        <v>45646</v>
      </c>
      <c r="B27" t="s">
        <v>350</v>
      </c>
      <c r="C27" t="s">
        <v>361</v>
      </c>
      <c r="D27" t="s">
        <v>381</v>
      </c>
      <c r="E27">
        <v>5.6</v>
      </c>
      <c r="F27" t="s">
        <v>348</v>
      </c>
    </row>
    <row r="28" spans="1:6" x14ac:dyDescent="0.25">
      <c r="A28" s="64">
        <v>45646</v>
      </c>
      <c r="B28" t="s">
        <v>196</v>
      </c>
      <c r="C28" t="s">
        <v>361</v>
      </c>
      <c r="D28" t="s">
        <v>197</v>
      </c>
      <c r="E28">
        <v>2.8</v>
      </c>
      <c r="F28" t="s">
        <v>198</v>
      </c>
    </row>
    <row r="29" spans="1:6" x14ac:dyDescent="0.25">
      <c r="A29" s="64">
        <v>45649</v>
      </c>
      <c r="B29" t="s">
        <v>208</v>
      </c>
      <c r="C29" t="s">
        <v>361</v>
      </c>
      <c r="D29" t="s">
        <v>209</v>
      </c>
      <c r="E29">
        <v>5.6</v>
      </c>
      <c r="F29" t="s">
        <v>210</v>
      </c>
    </row>
    <row r="30" spans="1:6" x14ac:dyDescent="0.25">
      <c r="A30" s="64">
        <v>45649</v>
      </c>
      <c r="B30" t="s">
        <v>205</v>
      </c>
      <c r="C30" t="s">
        <v>361</v>
      </c>
      <c r="D30" t="s">
        <v>206</v>
      </c>
      <c r="E30">
        <v>2.8</v>
      </c>
      <c r="F30" t="s">
        <v>344</v>
      </c>
    </row>
    <row r="31" spans="1:6" x14ac:dyDescent="0.25">
      <c r="A31" s="64">
        <v>45649</v>
      </c>
      <c r="B31" t="s">
        <v>196</v>
      </c>
      <c r="C31" t="s">
        <v>361</v>
      </c>
      <c r="D31" t="s">
        <v>197</v>
      </c>
      <c r="E31">
        <v>2.8</v>
      </c>
      <c r="F31" t="s">
        <v>198</v>
      </c>
    </row>
    <row r="32" spans="1:6" x14ac:dyDescent="0.25">
      <c r="A32" s="64">
        <v>45649</v>
      </c>
      <c r="B32" t="s">
        <v>202</v>
      </c>
      <c r="C32" t="s">
        <v>361</v>
      </c>
      <c r="D32" t="s">
        <v>203</v>
      </c>
      <c r="E32">
        <v>5.6</v>
      </c>
      <c r="F32" t="s">
        <v>204</v>
      </c>
    </row>
    <row r="33" spans="1:6" x14ac:dyDescent="0.25">
      <c r="A33" s="64">
        <v>45649</v>
      </c>
      <c r="B33" t="s">
        <v>350</v>
      </c>
      <c r="C33" t="s">
        <v>361</v>
      </c>
      <c r="D33" t="s">
        <v>381</v>
      </c>
      <c r="E33">
        <v>5.6</v>
      </c>
      <c r="F33" t="s">
        <v>348</v>
      </c>
    </row>
    <row r="34" spans="1:6" x14ac:dyDescent="0.25">
      <c r="A34" s="64">
        <v>45649</v>
      </c>
      <c r="B34" t="s">
        <v>211</v>
      </c>
      <c r="C34" t="s">
        <v>361</v>
      </c>
      <c r="D34" t="s">
        <v>212</v>
      </c>
      <c r="E34">
        <v>2.8</v>
      </c>
      <c r="F34" t="s">
        <v>213</v>
      </c>
    </row>
    <row r="35" spans="1:6" x14ac:dyDescent="0.25">
      <c r="A35" s="64">
        <v>45650</v>
      </c>
      <c r="B35" t="s">
        <v>211</v>
      </c>
      <c r="C35" t="s">
        <v>361</v>
      </c>
      <c r="D35" t="s">
        <v>212</v>
      </c>
      <c r="E35">
        <v>8.3999999999999986</v>
      </c>
      <c r="F35" t="s">
        <v>213</v>
      </c>
    </row>
    <row r="36" spans="1:6" x14ac:dyDescent="0.25">
      <c r="A36" s="64">
        <v>45650</v>
      </c>
      <c r="B36" t="s">
        <v>208</v>
      </c>
      <c r="C36" t="s">
        <v>361</v>
      </c>
      <c r="D36" t="s">
        <v>209</v>
      </c>
      <c r="E36">
        <v>8.3999999999999986</v>
      </c>
      <c r="F36" t="s">
        <v>210</v>
      </c>
    </row>
    <row r="37" spans="1:6" x14ac:dyDescent="0.25">
      <c r="A37" s="64">
        <v>45650</v>
      </c>
      <c r="B37" t="s">
        <v>196</v>
      </c>
      <c r="C37" t="s">
        <v>361</v>
      </c>
      <c r="D37" t="s">
        <v>197</v>
      </c>
      <c r="E37">
        <v>2.8</v>
      </c>
      <c r="F37" t="s">
        <v>198</v>
      </c>
    </row>
    <row r="38" spans="1:6" x14ac:dyDescent="0.25">
      <c r="A38" s="64">
        <v>45650</v>
      </c>
      <c r="B38" t="s">
        <v>202</v>
      </c>
      <c r="C38" t="s">
        <v>361</v>
      </c>
      <c r="D38" t="s">
        <v>203</v>
      </c>
      <c r="E38">
        <v>2.8</v>
      </c>
      <c r="F38" t="s">
        <v>204</v>
      </c>
    </row>
    <row r="39" spans="1:6" x14ac:dyDescent="0.25">
      <c r="A39" s="64">
        <v>45650</v>
      </c>
      <c r="B39" t="s">
        <v>350</v>
      </c>
      <c r="C39" t="s">
        <v>361</v>
      </c>
      <c r="D39" t="s">
        <v>381</v>
      </c>
      <c r="E39">
        <v>5.6</v>
      </c>
      <c r="F39" t="s">
        <v>348</v>
      </c>
    </row>
    <row r="40" spans="1:6" x14ac:dyDescent="0.25">
      <c r="A40" s="64">
        <v>45652</v>
      </c>
      <c r="B40" t="s">
        <v>191</v>
      </c>
      <c r="C40" t="s">
        <v>361</v>
      </c>
      <c r="D40" t="s">
        <v>192</v>
      </c>
      <c r="E40">
        <v>5.6</v>
      </c>
      <c r="F40" t="s">
        <v>112</v>
      </c>
    </row>
    <row r="41" spans="1:6" x14ac:dyDescent="0.25">
      <c r="A41" s="64">
        <v>45652</v>
      </c>
      <c r="B41" t="s">
        <v>208</v>
      </c>
      <c r="C41" t="s">
        <v>361</v>
      </c>
      <c r="D41" t="s">
        <v>209</v>
      </c>
      <c r="E41">
        <v>5.6</v>
      </c>
      <c r="F41" t="s">
        <v>210</v>
      </c>
    </row>
    <row r="42" spans="1:6" x14ac:dyDescent="0.25">
      <c r="A42" s="64">
        <v>45652</v>
      </c>
      <c r="B42" t="s">
        <v>253</v>
      </c>
      <c r="C42" t="s">
        <v>361</v>
      </c>
      <c r="D42" t="s">
        <v>339</v>
      </c>
      <c r="E42">
        <v>2.8</v>
      </c>
      <c r="F42" t="s">
        <v>385</v>
      </c>
    </row>
    <row r="43" spans="1:6" x14ac:dyDescent="0.25">
      <c r="A43" s="64">
        <v>45652</v>
      </c>
      <c r="B43" t="s">
        <v>202</v>
      </c>
      <c r="C43" t="s">
        <v>361</v>
      </c>
      <c r="D43" t="s">
        <v>203</v>
      </c>
      <c r="E43">
        <v>5.6</v>
      </c>
      <c r="F43" t="s">
        <v>204</v>
      </c>
    </row>
    <row r="44" spans="1:6" x14ac:dyDescent="0.25">
      <c r="A44" s="64">
        <v>45653</v>
      </c>
      <c r="B44" t="s">
        <v>252</v>
      </c>
      <c r="C44" t="s">
        <v>361</v>
      </c>
      <c r="D44" t="s">
        <v>340</v>
      </c>
      <c r="E44">
        <v>5.6</v>
      </c>
      <c r="F44" t="s">
        <v>386</v>
      </c>
    </row>
    <row r="45" spans="1:6" x14ac:dyDescent="0.25">
      <c r="A45" s="64">
        <v>45653</v>
      </c>
      <c r="B45" t="s">
        <v>208</v>
      </c>
      <c r="C45" t="s">
        <v>361</v>
      </c>
      <c r="D45" t="s">
        <v>209</v>
      </c>
      <c r="E45">
        <v>2.8</v>
      </c>
      <c r="F45" t="s">
        <v>210</v>
      </c>
    </row>
    <row r="46" spans="1:6" x14ac:dyDescent="0.25">
      <c r="A46" s="64">
        <v>45653</v>
      </c>
      <c r="B46" t="s">
        <v>196</v>
      </c>
      <c r="C46" t="s">
        <v>361</v>
      </c>
      <c r="D46" t="s">
        <v>197</v>
      </c>
      <c r="E46">
        <v>2.8</v>
      </c>
      <c r="F46" t="s">
        <v>198</v>
      </c>
    </row>
    <row r="47" spans="1:6" x14ac:dyDescent="0.25">
      <c r="A47" s="64">
        <v>45653</v>
      </c>
      <c r="B47" t="s">
        <v>253</v>
      </c>
      <c r="C47" t="s">
        <v>361</v>
      </c>
      <c r="D47" t="s">
        <v>339</v>
      </c>
      <c r="E47">
        <v>5.6</v>
      </c>
      <c r="F47" t="s">
        <v>385</v>
      </c>
    </row>
    <row r="48" spans="1:6" x14ac:dyDescent="0.25">
      <c r="A48" s="64">
        <v>45653</v>
      </c>
      <c r="B48" t="s">
        <v>202</v>
      </c>
      <c r="C48" t="s">
        <v>361</v>
      </c>
      <c r="D48" t="s">
        <v>203</v>
      </c>
      <c r="E48">
        <v>2.8</v>
      </c>
      <c r="F48" t="s">
        <v>204</v>
      </c>
    </row>
    <row r="49" spans="1:6" x14ac:dyDescent="0.25">
      <c r="A49" s="64">
        <v>45654</v>
      </c>
      <c r="B49" t="s">
        <v>252</v>
      </c>
      <c r="C49" t="s">
        <v>361</v>
      </c>
      <c r="D49" t="s">
        <v>340</v>
      </c>
      <c r="E49">
        <v>2.8</v>
      </c>
      <c r="F49" t="s">
        <v>386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2"/>
  <sheetViews>
    <sheetView workbookViewId="0">
      <selection activeCell="D4" sqref="D4:D13"/>
    </sheetView>
  </sheetViews>
  <sheetFormatPr defaultRowHeight="15" x14ac:dyDescent="0.25"/>
  <cols>
    <col min="1" max="1" width="13.140625" bestFit="1" customWidth="1"/>
    <col min="2" max="2" width="26.28515625" bestFit="1" customWidth="1"/>
  </cols>
  <sheetData>
    <row r="3" spans="1:4" x14ac:dyDescent="0.25">
      <c r="A3" s="89" t="s">
        <v>247</v>
      </c>
      <c r="B3" t="s">
        <v>249</v>
      </c>
    </row>
    <row r="4" spans="1:4" x14ac:dyDescent="0.25">
      <c r="A4" s="189">
        <v>45642</v>
      </c>
      <c r="B4">
        <v>16.799999999999997</v>
      </c>
      <c r="C4">
        <v>2.8</v>
      </c>
      <c r="D4">
        <f>+B4/C4</f>
        <v>5.9999999999999991</v>
      </c>
    </row>
    <row r="5" spans="1:4" x14ac:dyDescent="0.25">
      <c r="A5" s="189">
        <v>45643</v>
      </c>
      <c r="B5">
        <v>19.600000000000001</v>
      </c>
      <c r="C5">
        <v>2.8</v>
      </c>
      <c r="D5">
        <f t="shared" ref="D5:D13" si="0">+B5/C5</f>
        <v>7.0000000000000009</v>
      </c>
    </row>
    <row r="6" spans="1:4" x14ac:dyDescent="0.25">
      <c r="A6" s="189">
        <v>45644</v>
      </c>
      <c r="B6">
        <v>25.2</v>
      </c>
      <c r="C6">
        <v>2.8</v>
      </c>
      <c r="D6">
        <f t="shared" si="0"/>
        <v>9</v>
      </c>
    </row>
    <row r="7" spans="1:4" x14ac:dyDescent="0.25">
      <c r="A7" s="189">
        <v>45645</v>
      </c>
      <c r="B7">
        <v>25.200000000000003</v>
      </c>
      <c r="C7">
        <v>2.8</v>
      </c>
      <c r="D7">
        <f t="shared" si="0"/>
        <v>9.0000000000000018</v>
      </c>
    </row>
    <row r="8" spans="1:4" x14ac:dyDescent="0.25">
      <c r="A8" s="189">
        <v>45646</v>
      </c>
      <c r="B8">
        <v>39.199999999999996</v>
      </c>
      <c r="C8">
        <v>2.8</v>
      </c>
      <c r="D8">
        <f t="shared" si="0"/>
        <v>14</v>
      </c>
    </row>
    <row r="9" spans="1:4" x14ac:dyDescent="0.25">
      <c r="A9" s="189">
        <v>45649</v>
      </c>
      <c r="B9">
        <v>25.2</v>
      </c>
      <c r="C9">
        <v>2.8</v>
      </c>
      <c r="D9">
        <f t="shared" si="0"/>
        <v>9</v>
      </c>
    </row>
    <row r="10" spans="1:4" x14ac:dyDescent="0.25">
      <c r="A10" s="189">
        <v>45650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89">
        <v>45652</v>
      </c>
      <c r="B11">
        <v>19.600000000000001</v>
      </c>
      <c r="C11">
        <v>2.8</v>
      </c>
      <c r="D11">
        <f t="shared" si="0"/>
        <v>7.0000000000000009</v>
      </c>
    </row>
    <row r="12" spans="1:4" x14ac:dyDescent="0.25">
      <c r="A12" s="189">
        <v>45653</v>
      </c>
      <c r="B12">
        <v>14</v>
      </c>
      <c r="C12">
        <v>2.8</v>
      </c>
      <c r="D12">
        <f t="shared" si="0"/>
        <v>5</v>
      </c>
    </row>
    <row r="13" spans="1:4" x14ac:dyDescent="0.25">
      <c r="A13" s="189">
        <v>45654</v>
      </c>
      <c r="B13">
        <v>0</v>
      </c>
      <c r="C13">
        <v>2.8</v>
      </c>
      <c r="D13">
        <f t="shared" si="0"/>
        <v>0</v>
      </c>
    </row>
    <row r="14" spans="1:4" x14ac:dyDescent="0.25">
      <c r="A14" s="189" t="s">
        <v>248</v>
      </c>
      <c r="B14">
        <v>212.79999999999998</v>
      </c>
    </row>
    <row r="21" spans="1:2" x14ac:dyDescent="0.25">
      <c r="A21" s="89" t="s">
        <v>247</v>
      </c>
      <c r="B21" t="s">
        <v>246</v>
      </c>
    </row>
    <row r="22" spans="1:2" x14ac:dyDescent="0.25">
      <c r="A22" s="189">
        <v>45642</v>
      </c>
      <c r="B22">
        <v>132</v>
      </c>
    </row>
    <row r="23" spans="1:2" x14ac:dyDescent="0.25">
      <c r="A23" s="189">
        <v>45643</v>
      </c>
      <c r="B23">
        <v>116</v>
      </c>
    </row>
    <row r="24" spans="1:2" x14ac:dyDescent="0.25">
      <c r="A24" s="189">
        <v>45644</v>
      </c>
      <c r="B24">
        <v>133</v>
      </c>
    </row>
    <row r="25" spans="1:2" x14ac:dyDescent="0.25">
      <c r="A25" s="189">
        <v>45645</v>
      </c>
      <c r="B25">
        <v>116</v>
      </c>
    </row>
    <row r="26" spans="1:2" x14ac:dyDescent="0.25">
      <c r="A26" s="189">
        <v>45646</v>
      </c>
      <c r="B26">
        <v>124</v>
      </c>
    </row>
    <row r="27" spans="1:2" x14ac:dyDescent="0.25">
      <c r="A27" s="189">
        <v>45649</v>
      </c>
      <c r="B27">
        <v>122</v>
      </c>
    </row>
    <row r="28" spans="1:2" x14ac:dyDescent="0.25">
      <c r="A28" s="189">
        <v>45650</v>
      </c>
      <c r="B28">
        <v>101</v>
      </c>
    </row>
    <row r="29" spans="1:2" x14ac:dyDescent="0.25">
      <c r="A29" s="189">
        <v>45652</v>
      </c>
      <c r="B29">
        <v>72</v>
      </c>
    </row>
    <row r="30" spans="1:2" x14ac:dyDescent="0.25">
      <c r="A30" s="189">
        <v>45653</v>
      </c>
      <c r="B30">
        <v>89</v>
      </c>
    </row>
    <row r="31" spans="1:2" x14ac:dyDescent="0.25">
      <c r="A31" s="189">
        <v>45654</v>
      </c>
      <c r="B31">
        <v>9</v>
      </c>
    </row>
    <row r="32" spans="1:2" x14ac:dyDescent="0.25">
      <c r="A32" s="189" t="s">
        <v>248</v>
      </c>
      <c r="B32">
        <v>1014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01"/>
  <sheetViews>
    <sheetView showGridLines="0" workbookViewId="0">
      <selection activeCell="K1" sqref="K1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86</v>
      </c>
      <c r="H1" t="s">
        <v>217</v>
      </c>
      <c r="I1" t="s">
        <v>102</v>
      </c>
      <c r="J1" t="s">
        <v>89</v>
      </c>
      <c r="K1" t="s">
        <v>90</v>
      </c>
      <c r="L1" t="s">
        <v>91</v>
      </c>
      <c r="M1" t="s">
        <v>103</v>
      </c>
    </row>
    <row r="2" spans="1:13" x14ac:dyDescent="0.25">
      <c r="A2" s="64">
        <v>45642</v>
      </c>
      <c r="B2" t="s">
        <v>218</v>
      </c>
      <c r="C2">
        <v>13</v>
      </c>
      <c r="D2" t="s">
        <v>191</v>
      </c>
      <c r="E2">
        <v>0.5</v>
      </c>
      <c r="F2">
        <v>10.317</v>
      </c>
      <c r="G2">
        <v>9.8170000000000002</v>
      </c>
      <c r="H2">
        <v>113.072</v>
      </c>
      <c r="I2" t="s">
        <v>112</v>
      </c>
      <c r="J2">
        <v>21.5</v>
      </c>
      <c r="K2">
        <v>279.5</v>
      </c>
      <c r="L2">
        <v>2.8</v>
      </c>
      <c r="M2" t="s">
        <v>192</v>
      </c>
    </row>
    <row r="3" spans="1:13" x14ac:dyDescent="0.25">
      <c r="A3" s="64">
        <v>45643</v>
      </c>
      <c r="B3" t="s">
        <v>218</v>
      </c>
      <c r="C3">
        <v>13</v>
      </c>
      <c r="D3" t="s">
        <v>191</v>
      </c>
      <c r="E3">
        <v>0.5</v>
      </c>
      <c r="F3">
        <v>10.217000000000001</v>
      </c>
      <c r="G3">
        <v>9.7170000000000005</v>
      </c>
      <c r="H3">
        <v>144.02600000000001</v>
      </c>
      <c r="I3" t="s">
        <v>112</v>
      </c>
      <c r="J3">
        <v>21.5</v>
      </c>
      <c r="K3">
        <v>279.5</v>
      </c>
      <c r="L3">
        <v>5.6</v>
      </c>
      <c r="M3" t="s">
        <v>192</v>
      </c>
    </row>
    <row r="4" spans="1:13" x14ac:dyDescent="0.25">
      <c r="A4" s="64">
        <v>45644</v>
      </c>
      <c r="B4" t="s">
        <v>218</v>
      </c>
      <c r="C4">
        <v>19</v>
      </c>
      <c r="D4" t="s">
        <v>191</v>
      </c>
      <c r="E4">
        <v>0.5</v>
      </c>
      <c r="F4">
        <v>10.7</v>
      </c>
      <c r="G4">
        <v>10.199999999999999</v>
      </c>
      <c r="H4">
        <v>117.979</v>
      </c>
      <c r="I4" t="s">
        <v>112</v>
      </c>
      <c r="J4">
        <v>21.5</v>
      </c>
      <c r="K4">
        <v>408.5</v>
      </c>
      <c r="L4">
        <v>5.6</v>
      </c>
      <c r="M4" t="s">
        <v>192</v>
      </c>
    </row>
    <row r="5" spans="1:13" x14ac:dyDescent="0.25">
      <c r="A5" s="64">
        <v>45645</v>
      </c>
      <c r="B5" t="s">
        <v>218</v>
      </c>
      <c r="C5">
        <v>15</v>
      </c>
      <c r="D5" t="s">
        <v>191</v>
      </c>
      <c r="E5">
        <v>0.5</v>
      </c>
      <c r="F5">
        <v>9.4830000000000005</v>
      </c>
      <c r="G5">
        <v>8.9830000000000005</v>
      </c>
      <c r="H5">
        <v>121.56699999999999</v>
      </c>
      <c r="I5" t="s">
        <v>112</v>
      </c>
      <c r="J5">
        <v>21.5</v>
      </c>
      <c r="K5">
        <v>322.5</v>
      </c>
      <c r="L5">
        <v>14</v>
      </c>
      <c r="M5" t="s">
        <v>192</v>
      </c>
    </row>
    <row r="6" spans="1:13" x14ac:dyDescent="0.25">
      <c r="A6" s="64">
        <v>45646</v>
      </c>
      <c r="B6" t="s">
        <v>218</v>
      </c>
      <c r="C6">
        <v>13</v>
      </c>
      <c r="D6" t="s">
        <v>191</v>
      </c>
      <c r="E6">
        <v>0.5</v>
      </c>
      <c r="F6">
        <v>10.632999999999999</v>
      </c>
      <c r="G6">
        <v>10.132999999999999</v>
      </c>
      <c r="H6">
        <v>107.322</v>
      </c>
      <c r="I6" t="s">
        <v>112</v>
      </c>
      <c r="J6">
        <v>21.5</v>
      </c>
      <c r="K6">
        <v>279.5</v>
      </c>
      <c r="L6">
        <v>5.6</v>
      </c>
      <c r="M6" t="s">
        <v>192</v>
      </c>
    </row>
    <row r="7" spans="1:13" x14ac:dyDescent="0.25">
      <c r="A7" s="64">
        <v>45649</v>
      </c>
      <c r="B7" t="s">
        <v>218</v>
      </c>
      <c r="C7">
        <v>13</v>
      </c>
      <c r="D7" t="s">
        <v>191</v>
      </c>
      <c r="E7">
        <v>0.5</v>
      </c>
      <c r="F7">
        <v>9.5670000000000002</v>
      </c>
      <c r="G7">
        <v>9.0670000000000002</v>
      </c>
      <c r="H7">
        <v>107.191</v>
      </c>
      <c r="I7" t="s">
        <v>112</v>
      </c>
      <c r="J7">
        <v>21.5</v>
      </c>
      <c r="K7">
        <v>279.5</v>
      </c>
      <c r="L7">
        <v>0</v>
      </c>
      <c r="M7" t="s">
        <v>192</v>
      </c>
    </row>
    <row r="8" spans="1:13" x14ac:dyDescent="0.25">
      <c r="A8" s="64">
        <v>45650</v>
      </c>
      <c r="B8" t="s">
        <v>218</v>
      </c>
      <c r="C8">
        <v>14</v>
      </c>
      <c r="D8" t="s">
        <v>191</v>
      </c>
      <c r="E8">
        <v>0.5</v>
      </c>
      <c r="F8">
        <v>10.3</v>
      </c>
      <c r="G8">
        <v>9.8000000000000007</v>
      </c>
      <c r="H8">
        <v>121.601</v>
      </c>
      <c r="I8" t="s">
        <v>112</v>
      </c>
      <c r="J8">
        <v>21.5</v>
      </c>
      <c r="K8">
        <v>301</v>
      </c>
      <c r="L8">
        <v>0</v>
      </c>
      <c r="M8" t="s">
        <v>192</v>
      </c>
    </row>
    <row r="9" spans="1:13" x14ac:dyDescent="0.25">
      <c r="A9" s="64">
        <v>45652</v>
      </c>
      <c r="B9" t="s">
        <v>218</v>
      </c>
      <c r="C9">
        <v>12</v>
      </c>
      <c r="D9" t="s">
        <v>191</v>
      </c>
      <c r="E9">
        <v>0.5</v>
      </c>
      <c r="F9">
        <v>10.467000000000001</v>
      </c>
      <c r="G9">
        <v>9.9670000000000005</v>
      </c>
      <c r="H9">
        <v>125.999</v>
      </c>
      <c r="I9" t="s">
        <v>112</v>
      </c>
      <c r="J9">
        <v>21.5</v>
      </c>
      <c r="K9">
        <v>258</v>
      </c>
      <c r="L9">
        <v>5.6</v>
      </c>
      <c r="M9" t="s">
        <v>192</v>
      </c>
    </row>
    <row r="10" spans="1:13" x14ac:dyDescent="0.25">
      <c r="A10" s="64">
        <v>45653</v>
      </c>
      <c r="B10" t="s">
        <v>218</v>
      </c>
      <c r="C10">
        <v>14</v>
      </c>
      <c r="D10" t="s">
        <v>191</v>
      </c>
      <c r="E10">
        <v>0.5</v>
      </c>
      <c r="F10">
        <v>9.7829999999999995</v>
      </c>
      <c r="G10">
        <v>9.2829999999999995</v>
      </c>
      <c r="H10">
        <v>118.995</v>
      </c>
      <c r="I10" t="s">
        <v>112</v>
      </c>
      <c r="J10">
        <v>21.5</v>
      </c>
      <c r="K10">
        <v>301</v>
      </c>
      <c r="L10">
        <v>0</v>
      </c>
      <c r="M10" t="s">
        <v>192</v>
      </c>
    </row>
    <row r="11" spans="1:13" x14ac:dyDescent="0.25">
      <c r="A11" s="64">
        <v>45642</v>
      </c>
      <c r="B11" t="s">
        <v>218</v>
      </c>
      <c r="C11">
        <v>15</v>
      </c>
      <c r="D11" t="s">
        <v>196</v>
      </c>
      <c r="E11">
        <v>0.5</v>
      </c>
      <c r="F11">
        <v>10.317</v>
      </c>
      <c r="G11">
        <v>9.8170000000000002</v>
      </c>
      <c r="H11">
        <v>95.614000000000004</v>
      </c>
      <c r="I11" t="s">
        <v>198</v>
      </c>
      <c r="J11">
        <v>21.5</v>
      </c>
      <c r="K11">
        <v>322.5</v>
      </c>
      <c r="L11">
        <v>2.8</v>
      </c>
      <c r="M11" t="s">
        <v>197</v>
      </c>
    </row>
    <row r="12" spans="1:13" x14ac:dyDescent="0.25">
      <c r="A12" s="64">
        <v>45643</v>
      </c>
      <c r="B12" t="s">
        <v>218</v>
      </c>
      <c r="C12">
        <v>14</v>
      </c>
      <c r="D12" t="s">
        <v>196</v>
      </c>
      <c r="E12">
        <v>0.5</v>
      </c>
      <c r="F12">
        <v>9.9499999999999993</v>
      </c>
      <c r="G12">
        <v>9.4499999999999993</v>
      </c>
      <c r="H12">
        <v>114.233</v>
      </c>
      <c r="I12" t="s">
        <v>198</v>
      </c>
      <c r="J12">
        <v>21.5</v>
      </c>
      <c r="K12">
        <v>301</v>
      </c>
      <c r="L12">
        <v>2.8</v>
      </c>
      <c r="M12" t="s">
        <v>197</v>
      </c>
    </row>
    <row r="13" spans="1:13" x14ac:dyDescent="0.25">
      <c r="A13" s="64">
        <v>45644</v>
      </c>
      <c r="B13" t="s">
        <v>218</v>
      </c>
      <c r="C13">
        <v>14</v>
      </c>
      <c r="D13" t="s">
        <v>196</v>
      </c>
      <c r="E13">
        <v>0.5</v>
      </c>
      <c r="F13">
        <v>11.867000000000001</v>
      </c>
      <c r="G13">
        <v>11.367000000000001</v>
      </c>
      <c r="H13">
        <v>112.974</v>
      </c>
      <c r="I13" t="s">
        <v>198</v>
      </c>
      <c r="J13">
        <v>21.5</v>
      </c>
      <c r="K13">
        <v>301</v>
      </c>
      <c r="L13">
        <v>2.8</v>
      </c>
      <c r="M13" t="s">
        <v>197</v>
      </c>
    </row>
    <row r="14" spans="1:13" x14ac:dyDescent="0.25">
      <c r="A14" s="64">
        <v>45645</v>
      </c>
      <c r="B14" t="s">
        <v>218</v>
      </c>
      <c r="C14">
        <v>14</v>
      </c>
      <c r="D14" t="s">
        <v>196</v>
      </c>
      <c r="E14">
        <v>0.5</v>
      </c>
      <c r="F14">
        <v>11.117000000000001</v>
      </c>
      <c r="G14">
        <v>10.617000000000001</v>
      </c>
      <c r="H14">
        <v>105.97499999999999</v>
      </c>
      <c r="I14" t="s">
        <v>198</v>
      </c>
      <c r="J14">
        <v>21.5</v>
      </c>
      <c r="K14">
        <v>301</v>
      </c>
      <c r="L14">
        <v>2.8</v>
      </c>
      <c r="M14" t="s">
        <v>197</v>
      </c>
    </row>
    <row r="15" spans="1:13" x14ac:dyDescent="0.25">
      <c r="A15" s="64">
        <v>45646</v>
      </c>
      <c r="B15" t="s">
        <v>218</v>
      </c>
      <c r="C15">
        <v>14</v>
      </c>
      <c r="D15" t="s">
        <v>196</v>
      </c>
      <c r="E15">
        <v>0.5</v>
      </c>
      <c r="F15">
        <v>10.65</v>
      </c>
      <c r="G15">
        <v>10.15</v>
      </c>
      <c r="H15">
        <v>121.631</v>
      </c>
      <c r="I15" t="s">
        <v>198</v>
      </c>
      <c r="J15">
        <v>21.5</v>
      </c>
      <c r="K15">
        <v>301</v>
      </c>
      <c r="L15">
        <v>2.8</v>
      </c>
      <c r="M15" t="s">
        <v>197</v>
      </c>
    </row>
    <row r="16" spans="1:13" x14ac:dyDescent="0.25">
      <c r="A16" s="64">
        <v>45649</v>
      </c>
      <c r="B16" t="s">
        <v>218</v>
      </c>
      <c r="C16">
        <v>14</v>
      </c>
      <c r="D16" t="s">
        <v>196</v>
      </c>
      <c r="E16">
        <v>0.5</v>
      </c>
      <c r="F16">
        <v>10.217000000000001</v>
      </c>
      <c r="G16">
        <v>9.7170000000000005</v>
      </c>
      <c r="H16">
        <v>121.84099999999999</v>
      </c>
      <c r="I16" t="s">
        <v>198</v>
      </c>
      <c r="J16">
        <v>21.5</v>
      </c>
      <c r="K16">
        <v>301</v>
      </c>
      <c r="L16">
        <v>2.8</v>
      </c>
      <c r="M16" t="s">
        <v>197</v>
      </c>
    </row>
    <row r="17" spans="1:13" x14ac:dyDescent="0.25">
      <c r="A17" s="64">
        <v>45650</v>
      </c>
      <c r="B17" t="s">
        <v>218</v>
      </c>
      <c r="C17">
        <v>10</v>
      </c>
      <c r="D17" t="s">
        <v>196</v>
      </c>
      <c r="E17">
        <v>0.5</v>
      </c>
      <c r="F17">
        <v>10.183</v>
      </c>
      <c r="G17">
        <v>9.6829999999999998</v>
      </c>
      <c r="H17">
        <v>120.352</v>
      </c>
      <c r="I17" t="s">
        <v>198</v>
      </c>
      <c r="J17">
        <v>21.5</v>
      </c>
      <c r="K17">
        <v>215</v>
      </c>
      <c r="L17">
        <v>2.8</v>
      </c>
      <c r="M17" t="s">
        <v>197</v>
      </c>
    </row>
    <row r="18" spans="1:13" x14ac:dyDescent="0.25">
      <c r="A18" s="64">
        <v>45652</v>
      </c>
      <c r="B18" t="s">
        <v>218</v>
      </c>
      <c r="C18">
        <v>9</v>
      </c>
      <c r="D18" t="s">
        <v>196</v>
      </c>
      <c r="E18">
        <v>0.5</v>
      </c>
      <c r="F18">
        <v>8.35</v>
      </c>
      <c r="G18">
        <v>7.85</v>
      </c>
      <c r="H18">
        <v>90.772999999999996</v>
      </c>
      <c r="I18" t="s">
        <v>198</v>
      </c>
      <c r="J18">
        <v>21.5</v>
      </c>
      <c r="K18">
        <v>193.5</v>
      </c>
      <c r="L18">
        <v>0</v>
      </c>
      <c r="M18" t="s">
        <v>197</v>
      </c>
    </row>
    <row r="19" spans="1:13" x14ac:dyDescent="0.25">
      <c r="A19" s="64">
        <v>45653</v>
      </c>
      <c r="B19" t="s">
        <v>218</v>
      </c>
      <c r="C19">
        <v>11</v>
      </c>
      <c r="D19" t="s">
        <v>196</v>
      </c>
      <c r="E19">
        <v>0.5</v>
      </c>
      <c r="F19">
        <v>10.667</v>
      </c>
      <c r="G19">
        <v>10.167</v>
      </c>
      <c r="H19">
        <v>115.541</v>
      </c>
      <c r="I19" t="s">
        <v>198</v>
      </c>
      <c r="J19">
        <v>21.5</v>
      </c>
      <c r="K19">
        <v>236.5</v>
      </c>
      <c r="L19">
        <v>2.8</v>
      </c>
      <c r="M19" t="s">
        <v>197</v>
      </c>
    </row>
    <row r="20" spans="1:13" x14ac:dyDescent="0.25">
      <c r="A20" s="64">
        <v>45642</v>
      </c>
      <c r="B20" t="s">
        <v>218</v>
      </c>
      <c r="C20">
        <v>18</v>
      </c>
      <c r="D20" t="s">
        <v>211</v>
      </c>
      <c r="E20">
        <v>0.5</v>
      </c>
      <c r="F20">
        <v>10.333</v>
      </c>
      <c r="G20">
        <v>9.8330000000000002</v>
      </c>
      <c r="H20">
        <v>96.995999999999995</v>
      </c>
      <c r="I20" t="s">
        <v>213</v>
      </c>
      <c r="J20">
        <v>21.5</v>
      </c>
      <c r="K20">
        <v>387</v>
      </c>
      <c r="L20">
        <v>0</v>
      </c>
      <c r="M20" t="s">
        <v>212</v>
      </c>
    </row>
    <row r="21" spans="1:13" x14ac:dyDescent="0.25">
      <c r="A21" s="64">
        <v>45643</v>
      </c>
      <c r="B21" t="s">
        <v>218</v>
      </c>
      <c r="C21">
        <v>14</v>
      </c>
      <c r="D21" t="s">
        <v>211</v>
      </c>
      <c r="E21">
        <v>0.5</v>
      </c>
      <c r="F21">
        <v>9.8829999999999991</v>
      </c>
      <c r="G21">
        <v>9.3829999999999991</v>
      </c>
      <c r="H21">
        <v>126.336</v>
      </c>
      <c r="I21" t="s">
        <v>213</v>
      </c>
      <c r="J21">
        <v>21.5</v>
      </c>
      <c r="K21">
        <v>301</v>
      </c>
      <c r="L21">
        <v>0</v>
      </c>
      <c r="M21" t="s">
        <v>212</v>
      </c>
    </row>
    <row r="22" spans="1:13" x14ac:dyDescent="0.25">
      <c r="A22" s="64">
        <v>45644</v>
      </c>
      <c r="B22" t="s">
        <v>218</v>
      </c>
      <c r="C22">
        <v>13</v>
      </c>
      <c r="D22" t="s">
        <v>211</v>
      </c>
      <c r="E22">
        <v>0.5</v>
      </c>
      <c r="F22">
        <v>9.9</v>
      </c>
      <c r="G22">
        <v>9.4</v>
      </c>
      <c r="H22">
        <v>109.312</v>
      </c>
      <c r="I22" t="s">
        <v>213</v>
      </c>
      <c r="J22">
        <v>21.5</v>
      </c>
      <c r="K22">
        <v>279.5</v>
      </c>
      <c r="L22">
        <v>0</v>
      </c>
      <c r="M22" t="s">
        <v>212</v>
      </c>
    </row>
    <row r="23" spans="1:13" x14ac:dyDescent="0.25">
      <c r="A23" s="64">
        <v>45645</v>
      </c>
      <c r="B23" t="s">
        <v>218</v>
      </c>
      <c r="C23">
        <v>12</v>
      </c>
      <c r="D23" t="s">
        <v>211</v>
      </c>
      <c r="E23">
        <v>0.5</v>
      </c>
      <c r="F23">
        <v>10.317</v>
      </c>
      <c r="G23">
        <v>9.8170000000000002</v>
      </c>
      <c r="H23">
        <v>125.36499999999999</v>
      </c>
      <c r="I23" t="s">
        <v>213</v>
      </c>
      <c r="J23">
        <v>21.5</v>
      </c>
      <c r="K23">
        <v>258</v>
      </c>
      <c r="L23">
        <v>0</v>
      </c>
      <c r="M23" t="s">
        <v>212</v>
      </c>
    </row>
    <row r="24" spans="1:13" x14ac:dyDescent="0.25">
      <c r="A24" s="64">
        <v>45646</v>
      </c>
      <c r="B24" t="s">
        <v>218</v>
      </c>
      <c r="C24">
        <v>17</v>
      </c>
      <c r="D24" t="s">
        <v>211</v>
      </c>
      <c r="E24">
        <v>0.5</v>
      </c>
      <c r="F24">
        <v>10.266999999999999</v>
      </c>
      <c r="G24">
        <v>9.7669999999999995</v>
      </c>
      <c r="H24">
        <v>138.74199999999999</v>
      </c>
      <c r="I24" t="s">
        <v>213</v>
      </c>
      <c r="J24">
        <v>21.5</v>
      </c>
      <c r="K24">
        <v>365.5</v>
      </c>
      <c r="L24">
        <v>11.2</v>
      </c>
      <c r="M24" t="s">
        <v>212</v>
      </c>
    </row>
    <row r="25" spans="1:13" x14ac:dyDescent="0.25">
      <c r="A25" s="64">
        <v>45649</v>
      </c>
      <c r="B25" t="s">
        <v>218</v>
      </c>
      <c r="C25">
        <v>13</v>
      </c>
      <c r="D25" t="s">
        <v>211</v>
      </c>
      <c r="E25">
        <v>0.5</v>
      </c>
      <c r="F25">
        <v>10.25</v>
      </c>
      <c r="G25">
        <v>9.75</v>
      </c>
      <c r="H25">
        <v>63.569000000000003</v>
      </c>
      <c r="I25" t="s">
        <v>213</v>
      </c>
      <c r="J25">
        <v>21.5</v>
      </c>
      <c r="K25">
        <v>279.5</v>
      </c>
      <c r="L25">
        <v>2.8</v>
      </c>
      <c r="M25" t="s">
        <v>212</v>
      </c>
    </row>
    <row r="26" spans="1:13" x14ac:dyDescent="0.25">
      <c r="A26" s="64">
        <v>45650</v>
      </c>
      <c r="B26" t="s">
        <v>218</v>
      </c>
      <c r="C26">
        <v>11</v>
      </c>
      <c r="D26" t="s">
        <v>211</v>
      </c>
      <c r="E26">
        <v>0.5</v>
      </c>
      <c r="F26">
        <v>10.233000000000001</v>
      </c>
      <c r="G26">
        <v>9.7330000000000005</v>
      </c>
      <c r="H26">
        <v>136.58799999999999</v>
      </c>
      <c r="I26" t="s">
        <v>213</v>
      </c>
      <c r="J26">
        <v>21.5</v>
      </c>
      <c r="K26">
        <v>236.5</v>
      </c>
      <c r="L26">
        <v>8.4</v>
      </c>
      <c r="M26" t="s">
        <v>212</v>
      </c>
    </row>
    <row r="27" spans="1:13" x14ac:dyDescent="0.25">
      <c r="A27" s="64">
        <v>45652</v>
      </c>
      <c r="B27" t="s">
        <v>218</v>
      </c>
      <c r="C27">
        <v>0</v>
      </c>
      <c r="D27" t="s">
        <v>211</v>
      </c>
      <c r="E27">
        <v>0</v>
      </c>
      <c r="F27">
        <v>0</v>
      </c>
      <c r="G27">
        <v>0</v>
      </c>
      <c r="H27">
        <v>0</v>
      </c>
      <c r="I27" t="s">
        <v>213</v>
      </c>
      <c r="J27">
        <v>21.5</v>
      </c>
      <c r="K27">
        <v>0</v>
      </c>
      <c r="L27">
        <v>0</v>
      </c>
      <c r="M27" t="s">
        <v>212</v>
      </c>
    </row>
    <row r="28" spans="1:13" x14ac:dyDescent="0.25">
      <c r="A28" s="64">
        <v>45653</v>
      </c>
      <c r="B28" t="s">
        <v>218</v>
      </c>
      <c r="C28">
        <v>0</v>
      </c>
      <c r="D28" t="s">
        <v>211</v>
      </c>
      <c r="E28">
        <v>0</v>
      </c>
      <c r="F28">
        <v>0</v>
      </c>
      <c r="G28">
        <v>0</v>
      </c>
      <c r="H28">
        <v>0</v>
      </c>
      <c r="I28" t="s">
        <v>213</v>
      </c>
      <c r="J28">
        <v>21.5</v>
      </c>
      <c r="K28">
        <v>0</v>
      </c>
      <c r="L28">
        <v>0</v>
      </c>
      <c r="M28" t="s">
        <v>212</v>
      </c>
    </row>
    <row r="29" spans="1:13" x14ac:dyDescent="0.25">
      <c r="A29" s="64">
        <v>45642</v>
      </c>
      <c r="B29" t="s">
        <v>218</v>
      </c>
      <c r="C29">
        <v>15</v>
      </c>
      <c r="D29" t="s">
        <v>208</v>
      </c>
      <c r="E29">
        <v>0.5</v>
      </c>
      <c r="F29">
        <v>10.7</v>
      </c>
      <c r="G29">
        <v>10.199999999999999</v>
      </c>
      <c r="H29">
        <v>149.024</v>
      </c>
      <c r="I29" t="s">
        <v>210</v>
      </c>
      <c r="J29">
        <v>21.5</v>
      </c>
      <c r="K29">
        <v>322.5</v>
      </c>
      <c r="L29">
        <v>0</v>
      </c>
      <c r="M29" t="s">
        <v>209</v>
      </c>
    </row>
    <row r="30" spans="1:13" x14ac:dyDescent="0.25">
      <c r="A30" s="64">
        <v>45643</v>
      </c>
      <c r="B30" t="s">
        <v>218</v>
      </c>
      <c r="C30">
        <v>12</v>
      </c>
      <c r="D30" t="s">
        <v>208</v>
      </c>
      <c r="E30">
        <v>0.5</v>
      </c>
      <c r="F30">
        <v>10.45</v>
      </c>
      <c r="G30">
        <v>9.9499999999999993</v>
      </c>
      <c r="H30">
        <v>134.75299999999999</v>
      </c>
      <c r="I30" t="s">
        <v>210</v>
      </c>
      <c r="J30">
        <v>21.5</v>
      </c>
      <c r="K30">
        <v>258</v>
      </c>
      <c r="L30">
        <v>0</v>
      </c>
      <c r="M30" t="s">
        <v>209</v>
      </c>
    </row>
    <row r="31" spans="1:13" x14ac:dyDescent="0.25">
      <c r="A31" s="64">
        <v>45644</v>
      </c>
      <c r="B31" t="s">
        <v>218</v>
      </c>
      <c r="C31">
        <v>15</v>
      </c>
      <c r="D31" t="s">
        <v>208</v>
      </c>
      <c r="E31">
        <v>0.5</v>
      </c>
      <c r="F31">
        <v>10.132999999999999</v>
      </c>
      <c r="G31">
        <v>9.6329999999999991</v>
      </c>
      <c r="H31">
        <v>113.286</v>
      </c>
      <c r="I31" t="s">
        <v>210</v>
      </c>
      <c r="J31">
        <v>21.5</v>
      </c>
      <c r="K31">
        <v>322.5</v>
      </c>
      <c r="L31">
        <v>0</v>
      </c>
      <c r="M31" t="s">
        <v>209</v>
      </c>
    </row>
    <row r="32" spans="1:13" x14ac:dyDescent="0.25">
      <c r="A32" s="64">
        <v>45645</v>
      </c>
      <c r="B32" t="s">
        <v>218</v>
      </c>
      <c r="C32">
        <v>9</v>
      </c>
      <c r="D32" t="s">
        <v>208</v>
      </c>
      <c r="E32">
        <v>0.5</v>
      </c>
      <c r="F32">
        <v>10.417</v>
      </c>
      <c r="G32">
        <v>9.9169999999999998</v>
      </c>
      <c r="H32">
        <v>136.928</v>
      </c>
      <c r="I32" t="s">
        <v>210</v>
      </c>
      <c r="J32">
        <v>21.5</v>
      </c>
      <c r="K32">
        <v>193.5</v>
      </c>
      <c r="L32">
        <v>0</v>
      </c>
      <c r="M32" t="s">
        <v>209</v>
      </c>
    </row>
    <row r="33" spans="1:13" x14ac:dyDescent="0.25">
      <c r="A33" s="64">
        <v>45646</v>
      </c>
      <c r="B33" t="s">
        <v>218</v>
      </c>
      <c r="C33">
        <v>14</v>
      </c>
      <c r="D33" t="s">
        <v>208</v>
      </c>
      <c r="E33">
        <v>0.5</v>
      </c>
      <c r="F33">
        <v>10.516999999999999</v>
      </c>
      <c r="G33">
        <v>10.016999999999999</v>
      </c>
      <c r="H33">
        <v>156.654</v>
      </c>
      <c r="I33" t="s">
        <v>210</v>
      </c>
      <c r="J33">
        <v>21.5</v>
      </c>
      <c r="K33">
        <v>301</v>
      </c>
      <c r="L33">
        <v>0</v>
      </c>
      <c r="M33" t="s">
        <v>209</v>
      </c>
    </row>
    <row r="34" spans="1:13" x14ac:dyDescent="0.25">
      <c r="A34" s="64">
        <v>45649</v>
      </c>
      <c r="B34" t="s">
        <v>218</v>
      </c>
      <c r="C34">
        <v>14</v>
      </c>
      <c r="D34" t="s">
        <v>208</v>
      </c>
      <c r="E34">
        <v>0.5</v>
      </c>
      <c r="F34">
        <v>9.3670000000000009</v>
      </c>
      <c r="G34">
        <v>8.8670000000000009</v>
      </c>
      <c r="H34">
        <v>91.65</v>
      </c>
      <c r="I34" t="s">
        <v>210</v>
      </c>
      <c r="J34">
        <v>21.5</v>
      </c>
      <c r="K34">
        <v>301</v>
      </c>
      <c r="L34">
        <v>5.6</v>
      </c>
      <c r="M34" t="s">
        <v>209</v>
      </c>
    </row>
    <row r="35" spans="1:13" x14ac:dyDescent="0.25">
      <c r="A35" s="64">
        <v>45650</v>
      </c>
      <c r="B35" t="s">
        <v>218</v>
      </c>
      <c r="C35">
        <v>14</v>
      </c>
      <c r="D35" t="s">
        <v>208</v>
      </c>
      <c r="E35">
        <v>0.5</v>
      </c>
      <c r="F35">
        <v>10.75</v>
      </c>
      <c r="G35">
        <v>10.25</v>
      </c>
      <c r="H35">
        <v>110.995</v>
      </c>
      <c r="I35" t="s">
        <v>210</v>
      </c>
      <c r="J35">
        <v>21.5</v>
      </c>
      <c r="K35">
        <v>301</v>
      </c>
      <c r="L35">
        <v>8.4</v>
      </c>
      <c r="M35" t="s">
        <v>209</v>
      </c>
    </row>
    <row r="36" spans="1:13" x14ac:dyDescent="0.25">
      <c r="A36" s="64">
        <v>45652</v>
      </c>
      <c r="B36" t="s">
        <v>218</v>
      </c>
      <c r="C36">
        <v>12</v>
      </c>
      <c r="D36" t="s">
        <v>208</v>
      </c>
      <c r="E36">
        <v>0.5</v>
      </c>
      <c r="F36">
        <v>10.25</v>
      </c>
      <c r="G36">
        <v>9.75</v>
      </c>
      <c r="H36">
        <v>145.66300000000001</v>
      </c>
      <c r="I36" t="s">
        <v>210</v>
      </c>
      <c r="J36">
        <v>21.5</v>
      </c>
      <c r="K36">
        <v>258</v>
      </c>
      <c r="L36">
        <v>5.6</v>
      </c>
      <c r="M36" t="s">
        <v>209</v>
      </c>
    </row>
    <row r="37" spans="1:13" x14ac:dyDescent="0.25">
      <c r="A37" s="64">
        <v>45653</v>
      </c>
      <c r="B37" t="s">
        <v>218</v>
      </c>
      <c r="C37">
        <v>13</v>
      </c>
      <c r="D37" t="s">
        <v>208</v>
      </c>
      <c r="E37">
        <v>0.5</v>
      </c>
      <c r="F37">
        <v>10.6</v>
      </c>
      <c r="G37">
        <v>10.1</v>
      </c>
      <c r="H37">
        <v>113.777</v>
      </c>
      <c r="I37" t="s">
        <v>210</v>
      </c>
      <c r="J37">
        <v>21.5</v>
      </c>
      <c r="K37">
        <v>279.5</v>
      </c>
      <c r="L37">
        <v>2.8</v>
      </c>
      <c r="M37" t="s">
        <v>209</v>
      </c>
    </row>
    <row r="38" spans="1:13" x14ac:dyDescent="0.25">
      <c r="A38" s="64">
        <v>45642</v>
      </c>
      <c r="B38" t="s">
        <v>218</v>
      </c>
      <c r="C38">
        <v>0</v>
      </c>
      <c r="D38" t="s">
        <v>199</v>
      </c>
      <c r="E38">
        <v>0</v>
      </c>
      <c r="F38">
        <v>0</v>
      </c>
      <c r="G38">
        <v>0</v>
      </c>
      <c r="H38">
        <v>0</v>
      </c>
      <c r="I38" t="s">
        <v>201</v>
      </c>
      <c r="J38">
        <v>21.5</v>
      </c>
      <c r="K38">
        <v>0</v>
      </c>
      <c r="L38">
        <v>0</v>
      </c>
      <c r="M38" t="s">
        <v>200</v>
      </c>
    </row>
    <row r="39" spans="1:13" x14ac:dyDescent="0.25">
      <c r="A39" s="64">
        <v>45643</v>
      </c>
      <c r="B39" t="s">
        <v>218</v>
      </c>
      <c r="C39">
        <v>0</v>
      </c>
      <c r="D39" t="s">
        <v>199</v>
      </c>
      <c r="E39">
        <v>0</v>
      </c>
      <c r="F39">
        <v>0</v>
      </c>
      <c r="G39">
        <v>0</v>
      </c>
      <c r="H39">
        <v>0</v>
      </c>
      <c r="I39" t="s">
        <v>201</v>
      </c>
      <c r="J39">
        <v>21.5</v>
      </c>
      <c r="K39">
        <v>0</v>
      </c>
      <c r="L39">
        <v>0</v>
      </c>
      <c r="M39" t="s">
        <v>200</v>
      </c>
    </row>
    <row r="40" spans="1:13" x14ac:dyDescent="0.25">
      <c r="A40" s="64">
        <v>45644</v>
      </c>
      <c r="B40" t="s">
        <v>218</v>
      </c>
      <c r="C40">
        <v>0</v>
      </c>
      <c r="D40" t="s">
        <v>199</v>
      </c>
      <c r="E40">
        <v>0</v>
      </c>
      <c r="F40">
        <v>0</v>
      </c>
      <c r="G40">
        <v>0</v>
      </c>
      <c r="H40">
        <v>0</v>
      </c>
      <c r="I40" t="s">
        <v>201</v>
      </c>
      <c r="J40">
        <v>21.5</v>
      </c>
      <c r="K40">
        <v>0</v>
      </c>
      <c r="L40">
        <v>0</v>
      </c>
      <c r="M40" t="s">
        <v>200</v>
      </c>
    </row>
    <row r="41" spans="1:13" x14ac:dyDescent="0.25">
      <c r="A41" s="64">
        <v>45645</v>
      </c>
      <c r="B41" t="s">
        <v>218</v>
      </c>
      <c r="C41">
        <v>0</v>
      </c>
      <c r="D41" t="s">
        <v>199</v>
      </c>
      <c r="E41">
        <v>0</v>
      </c>
      <c r="F41">
        <v>0</v>
      </c>
      <c r="G41">
        <v>0</v>
      </c>
      <c r="H41">
        <v>0</v>
      </c>
      <c r="I41" t="s">
        <v>201</v>
      </c>
      <c r="J41">
        <v>21.5</v>
      </c>
      <c r="K41">
        <v>0</v>
      </c>
      <c r="L41">
        <v>0</v>
      </c>
      <c r="M41" t="s">
        <v>200</v>
      </c>
    </row>
    <row r="42" spans="1:13" x14ac:dyDescent="0.25">
      <c r="A42" s="64">
        <v>45646</v>
      </c>
      <c r="B42" t="s">
        <v>218</v>
      </c>
      <c r="C42">
        <v>0</v>
      </c>
      <c r="D42" t="s">
        <v>199</v>
      </c>
      <c r="E42">
        <v>0</v>
      </c>
      <c r="F42">
        <v>0</v>
      </c>
      <c r="G42">
        <v>0</v>
      </c>
      <c r="H42">
        <v>0</v>
      </c>
      <c r="I42" t="s">
        <v>201</v>
      </c>
      <c r="J42">
        <v>21.5</v>
      </c>
      <c r="K42">
        <v>0</v>
      </c>
      <c r="L42">
        <v>0</v>
      </c>
      <c r="M42" t="s">
        <v>200</v>
      </c>
    </row>
    <row r="43" spans="1:13" x14ac:dyDescent="0.25">
      <c r="A43" s="64">
        <v>45649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>
        <v>0</v>
      </c>
      <c r="I43" t="s">
        <v>201</v>
      </c>
      <c r="J43">
        <v>21.5</v>
      </c>
      <c r="K43">
        <v>0</v>
      </c>
      <c r="L43">
        <v>0</v>
      </c>
      <c r="M43" t="s">
        <v>200</v>
      </c>
    </row>
    <row r="44" spans="1:13" x14ac:dyDescent="0.25">
      <c r="A44" s="64">
        <v>45650</v>
      </c>
      <c r="B44" t="s">
        <v>218</v>
      </c>
      <c r="C44">
        <v>0</v>
      </c>
      <c r="D44" t="s">
        <v>199</v>
      </c>
      <c r="E44">
        <v>0</v>
      </c>
      <c r="F44">
        <v>0</v>
      </c>
      <c r="G44">
        <v>0</v>
      </c>
      <c r="H44">
        <v>0</v>
      </c>
      <c r="I44" t="s">
        <v>201</v>
      </c>
      <c r="J44">
        <v>21.5</v>
      </c>
      <c r="K44">
        <v>0</v>
      </c>
      <c r="L44">
        <v>0</v>
      </c>
      <c r="M44" t="s">
        <v>200</v>
      </c>
    </row>
    <row r="45" spans="1:13" x14ac:dyDescent="0.25">
      <c r="A45" s="64">
        <v>45652</v>
      </c>
      <c r="B45" t="s">
        <v>218</v>
      </c>
      <c r="C45">
        <v>0</v>
      </c>
      <c r="D45" t="s">
        <v>199</v>
      </c>
      <c r="E45">
        <v>0</v>
      </c>
      <c r="F45">
        <v>0</v>
      </c>
      <c r="G45">
        <v>0</v>
      </c>
      <c r="H45">
        <v>0</v>
      </c>
      <c r="I45" t="s">
        <v>201</v>
      </c>
      <c r="J45">
        <v>21.5</v>
      </c>
      <c r="K45">
        <v>0</v>
      </c>
      <c r="L45">
        <v>0</v>
      </c>
      <c r="M45" t="s">
        <v>200</v>
      </c>
    </row>
    <row r="46" spans="1:13" x14ac:dyDescent="0.25">
      <c r="A46" s="64">
        <v>45653</v>
      </c>
      <c r="B46" t="s">
        <v>218</v>
      </c>
      <c r="C46">
        <v>0</v>
      </c>
      <c r="D46" t="s">
        <v>199</v>
      </c>
      <c r="E46">
        <v>0</v>
      </c>
      <c r="F46">
        <v>0</v>
      </c>
      <c r="G46">
        <v>0</v>
      </c>
      <c r="H46">
        <v>0</v>
      </c>
      <c r="I46" t="s">
        <v>201</v>
      </c>
      <c r="J46">
        <v>21.5</v>
      </c>
      <c r="K46">
        <v>0</v>
      </c>
      <c r="L46">
        <v>0</v>
      </c>
      <c r="M46" t="s">
        <v>200</v>
      </c>
    </row>
    <row r="47" spans="1:13" x14ac:dyDescent="0.25">
      <c r="A47" s="64">
        <v>45642</v>
      </c>
      <c r="B47" t="s">
        <v>218</v>
      </c>
      <c r="C47">
        <v>10</v>
      </c>
      <c r="D47" t="s">
        <v>252</v>
      </c>
      <c r="E47">
        <v>0.5</v>
      </c>
      <c r="F47">
        <v>10.933</v>
      </c>
      <c r="G47">
        <v>10.433</v>
      </c>
      <c r="H47">
        <v>114.383</v>
      </c>
      <c r="I47" t="s">
        <v>386</v>
      </c>
      <c r="J47">
        <v>21.5</v>
      </c>
      <c r="K47">
        <v>215</v>
      </c>
      <c r="L47">
        <v>0</v>
      </c>
      <c r="M47" t="s">
        <v>340</v>
      </c>
    </row>
    <row r="48" spans="1:13" x14ac:dyDescent="0.25">
      <c r="A48" s="64">
        <v>45643</v>
      </c>
      <c r="B48" t="s">
        <v>218</v>
      </c>
      <c r="C48">
        <v>13</v>
      </c>
      <c r="D48" t="s">
        <v>252</v>
      </c>
      <c r="E48">
        <v>0.5</v>
      </c>
      <c r="F48">
        <v>11.882999999999999</v>
      </c>
      <c r="G48">
        <v>11.382999999999999</v>
      </c>
      <c r="H48">
        <v>114.944</v>
      </c>
      <c r="I48" t="s">
        <v>386</v>
      </c>
      <c r="J48">
        <v>21.5</v>
      </c>
      <c r="K48">
        <v>279.5</v>
      </c>
      <c r="L48">
        <v>5.6</v>
      </c>
      <c r="M48" t="s">
        <v>340</v>
      </c>
    </row>
    <row r="49" spans="1:13" x14ac:dyDescent="0.25">
      <c r="A49" s="64">
        <v>45644</v>
      </c>
      <c r="B49" t="s">
        <v>218</v>
      </c>
      <c r="C49">
        <v>14</v>
      </c>
      <c r="D49" t="s">
        <v>252</v>
      </c>
      <c r="E49">
        <v>0.433</v>
      </c>
      <c r="F49">
        <v>11.05</v>
      </c>
      <c r="G49">
        <v>10.617000000000001</v>
      </c>
      <c r="H49">
        <v>131.13200000000001</v>
      </c>
      <c r="I49" t="s">
        <v>386</v>
      </c>
      <c r="J49">
        <v>21.5</v>
      </c>
      <c r="K49">
        <v>301</v>
      </c>
      <c r="L49">
        <v>5.6</v>
      </c>
      <c r="M49" t="s">
        <v>340</v>
      </c>
    </row>
    <row r="50" spans="1:13" x14ac:dyDescent="0.25">
      <c r="A50" s="64">
        <v>45645</v>
      </c>
      <c r="B50" t="s">
        <v>218</v>
      </c>
      <c r="C50">
        <v>13</v>
      </c>
      <c r="D50" t="s">
        <v>252</v>
      </c>
      <c r="E50">
        <v>0.5</v>
      </c>
      <c r="F50">
        <v>11.3</v>
      </c>
      <c r="G50">
        <v>10.8</v>
      </c>
      <c r="H50">
        <v>116.776</v>
      </c>
      <c r="I50" t="s">
        <v>386</v>
      </c>
      <c r="J50">
        <v>21.5</v>
      </c>
      <c r="K50">
        <v>279.5</v>
      </c>
      <c r="L50">
        <v>14</v>
      </c>
      <c r="M50" t="s">
        <v>340</v>
      </c>
    </row>
    <row r="51" spans="1:13" x14ac:dyDescent="0.25">
      <c r="A51" s="64">
        <v>45646</v>
      </c>
      <c r="B51" t="s">
        <v>218</v>
      </c>
      <c r="C51">
        <v>13</v>
      </c>
      <c r="D51" t="s">
        <v>252</v>
      </c>
      <c r="E51">
        <v>0.5</v>
      </c>
      <c r="F51">
        <v>10</v>
      </c>
      <c r="G51">
        <v>9.5</v>
      </c>
      <c r="H51">
        <v>98.58</v>
      </c>
      <c r="I51" t="s">
        <v>386</v>
      </c>
      <c r="J51">
        <v>21.5</v>
      </c>
      <c r="K51">
        <v>279.5</v>
      </c>
      <c r="L51">
        <v>0</v>
      </c>
      <c r="M51" t="s">
        <v>340</v>
      </c>
    </row>
    <row r="52" spans="1:13" x14ac:dyDescent="0.25">
      <c r="A52" s="64">
        <v>45649</v>
      </c>
      <c r="B52" t="s">
        <v>218</v>
      </c>
      <c r="C52">
        <v>15</v>
      </c>
      <c r="D52" t="s">
        <v>252</v>
      </c>
      <c r="E52">
        <v>0.5</v>
      </c>
      <c r="F52">
        <v>10.817</v>
      </c>
      <c r="G52">
        <v>10.317</v>
      </c>
      <c r="H52">
        <v>120.32599999999999</v>
      </c>
      <c r="I52" t="s">
        <v>386</v>
      </c>
      <c r="J52">
        <v>21.5</v>
      </c>
      <c r="K52">
        <v>322.5</v>
      </c>
      <c r="L52">
        <v>0</v>
      </c>
      <c r="M52" t="s">
        <v>340</v>
      </c>
    </row>
    <row r="53" spans="1:13" x14ac:dyDescent="0.25">
      <c r="A53" s="64">
        <v>45650</v>
      </c>
      <c r="B53" t="s">
        <v>218</v>
      </c>
      <c r="C53">
        <v>11</v>
      </c>
      <c r="D53" t="s">
        <v>252</v>
      </c>
      <c r="E53">
        <v>0.5</v>
      </c>
      <c r="F53">
        <v>10.717000000000001</v>
      </c>
      <c r="G53">
        <v>10.217000000000001</v>
      </c>
      <c r="H53">
        <v>105.798</v>
      </c>
      <c r="I53" t="s">
        <v>386</v>
      </c>
      <c r="J53">
        <v>21.5</v>
      </c>
      <c r="K53">
        <v>236.5</v>
      </c>
      <c r="L53">
        <v>0</v>
      </c>
      <c r="M53" t="s">
        <v>340</v>
      </c>
    </row>
    <row r="54" spans="1:13" x14ac:dyDescent="0.25">
      <c r="A54" s="64">
        <v>45652</v>
      </c>
      <c r="B54" t="s">
        <v>218</v>
      </c>
      <c r="C54">
        <v>9</v>
      </c>
      <c r="D54" t="s">
        <v>252</v>
      </c>
      <c r="E54">
        <v>0.5</v>
      </c>
      <c r="F54">
        <v>9.5500000000000007</v>
      </c>
      <c r="G54">
        <v>9.0500000000000007</v>
      </c>
      <c r="H54">
        <v>70.13</v>
      </c>
      <c r="I54" t="s">
        <v>386</v>
      </c>
      <c r="J54">
        <v>21.5</v>
      </c>
      <c r="K54">
        <v>193.5</v>
      </c>
      <c r="L54">
        <v>0</v>
      </c>
      <c r="M54" t="s">
        <v>340</v>
      </c>
    </row>
    <row r="55" spans="1:13" x14ac:dyDescent="0.25">
      <c r="A55" s="64">
        <v>45653</v>
      </c>
      <c r="B55" t="s">
        <v>218</v>
      </c>
      <c r="C55">
        <v>13</v>
      </c>
      <c r="D55" t="s">
        <v>252</v>
      </c>
      <c r="E55">
        <v>0.5</v>
      </c>
      <c r="F55">
        <v>10.516999999999999</v>
      </c>
      <c r="G55">
        <v>10.016999999999999</v>
      </c>
      <c r="H55">
        <v>103.232</v>
      </c>
      <c r="I55" t="s">
        <v>386</v>
      </c>
      <c r="J55">
        <v>21.5</v>
      </c>
      <c r="K55">
        <v>279.5</v>
      </c>
      <c r="L55">
        <v>5.6</v>
      </c>
      <c r="M55" t="s">
        <v>340</v>
      </c>
    </row>
    <row r="56" spans="1:13" x14ac:dyDescent="0.25">
      <c r="A56" s="64">
        <v>45654</v>
      </c>
      <c r="B56" t="s">
        <v>218</v>
      </c>
      <c r="C56">
        <v>9</v>
      </c>
      <c r="D56" t="s">
        <v>252</v>
      </c>
      <c r="E56">
        <v>0</v>
      </c>
      <c r="F56">
        <v>6.4169999999999998</v>
      </c>
      <c r="G56">
        <v>6.4169999999999998</v>
      </c>
      <c r="H56">
        <v>65.847999999999999</v>
      </c>
      <c r="I56" t="s">
        <v>386</v>
      </c>
      <c r="J56">
        <v>21.5</v>
      </c>
      <c r="K56">
        <v>193.5</v>
      </c>
      <c r="L56">
        <v>2.8</v>
      </c>
      <c r="M56" t="s">
        <v>340</v>
      </c>
    </row>
    <row r="57" spans="1:13" x14ac:dyDescent="0.25">
      <c r="A57" s="64">
        <v>45642</v>
      </c>
      <c r="B57" t="s">
        <v>218</v>
      </c>
      <c r="C57">
        <v>12</v>
      </c>
      <c r="D57" t="s">
        <v>193</v>
      </c>
      <c r="E57">
        <v>0.5</v>
      </c>
      <c r="F57">
        <v>11.117000000000001</v>
      </c>
      <c r="G57">
        <v>10.617000000000001</v>
      </c>
      <c r="H57">
        <v>103.592</v>
      </c>
      <c r="I57" t="s">
        <v>195</v>
      </c>
      <c r="J57">
        <v>21.5</v>
      </c>
      <c r="K57">
        <v>258</v>
      </c>
      <c r="L57">
        <v>0</v>
      </c>
      <c r="M57" t="s">
        <v>194</v>
      </c>
    </row>
    <row r="58" spans="1:13" x14ac:dyDescent="0.25">
      <c r="A58" s="64">
        <v>45643</v>
      </c>
      <c r="B58" t="s">
        <v>218</v>
      </c>
      <c r="C58">
        <v>4</v>
      </c>
      <c r="D58" t="s">
        <v>193</v>
      </c>
      <c r="E58">
        <v>0</v>
      </c>
      <c r="F58">
        <v>3.617</v>
      </c>
      <c r="G58">
        <v>3.617</v>
      </c>
      <c r="H58">
        <v>36.533000000000001</v>
      </c>
      <c r="I58" t="s">
        <v>195</v>
      </c>
      <c r="J58">
        <v>21.5</v>
      </c>
      <c r="K58">
        <v>86</v>
      </c>
      <c r="L58">
        <v>2.8</v>
      </c>
      <c r="M58" t="s">
        <v>194</v>
      </c>
    </row>
    <row r="59" spans="1:13" x14ac:dyDescent="0.25">
      <c r="A59" s="64">
        <v>45644</v>
      </c>
      <c r="B59" t="s">
        <v>218</v>
      </c>
      <c r="C59">
        <v>0</v>
      </c>
      <c r="D59" t="s">
        <v>193</v>
      </c>
      <c r="E59">
        <v>0</v>
      </c>
      <c r="F59">
        <v>0</v>
      </c>
      <c r="G59">
        <v>0</v>
      </c>
      <c r="H59">
        <v>0</v>
      </c>
      <c r="I59" t="s">
        <v>195</v>
      </c>
      <c r="J59">
        <v>21.5</v>
      </c>
      <c r="K59">
        <v>0</v>
      </c>
      <c r="L59">
        <v>0</v>
      </c>
      <c r="M59" t="s">
        <v>194</v>
      </c>
    </row>
    <row r="60" spans="1:13" x14ac:dyDescent="0.25">
      <c r="A60" s="64">
        <v>45645</v>
      </c>
      <c r="B60" t="s">
        <v>218</v>
      </c>
      <c r="C60">
        <v>0</v>
      </c>
      <c r="D60" t="s">
        <v>193</v>
      </c>
      <c r="E60">
        <v>0</v>
      </c>
      <c r="F60">
        <v>0</v>
      </c>
      <c r="G60">
        <v>0</v>
      </c>
      <c r="H60">
        <v>0</v>
      </c>
      <c r="I60" t="s">
        <v>195</v>
      </c>
      <c r="J60">
        <v>21.5</v>
      </c>
      <c r="K60">
        <v>0</v>
      </c>
      <c r="L60">
        <v>0</v>
      </c>
      <c r="M60" t="s">
        <v>194</v>
      </c>
    </row>
    <row r="61" spans="1:13" x14ac:dyDescent="0.25">
      <c r="A61" s="64">
        <v>45646</v>
      </c>
      <c r="B61" t="s">
        <v>218</v>
      </c>
      <c r="C61">
        <v>0</v>
      </c>
      <c r="D61" t="s">
        <v>193</v>
      </c>
      <c r="E61">
        <v>0</v>
      </c>
      <c r="F61">
        <v>0</v>
      </c>
      <c r="G61">
        <v>0</v>
      </c>
      <c r="H61">
        <v>0</v>
      </c>
      <c r="I61" t="s">
        <v>195</v>
      </c>
      <c r="J61">
        <v>21.5</v>
      </c>
      <c r="K61">
        <v>0</v>
      </c>
      <c r="L61">
        <v>0</v>
      </c>
      <c r="M61" t="s">
        <v>194</v>
      </c>
    </row>
    <row r="62" spans="1:13" x14ac:dyDescent="0.25">
      <c r="A62" s="64">
        <v>45649</v>
      </c>
      <c r="B62" t="s">
        <v>218</v>
      </c>
      <c r="C62">
        <v>0</v>
      </c>
      <c r="D62" t="s">
        <v>193</v>
      </c>
      <c r="E62">
        <v>0</v>
      </c>
      <c r="F62">
        <v>0</v>
      </c>
      <c r="G62">
        <v>0</v>
      </c>
      <c r="H62">
        <v>0</v>
      </c>
      <c r="I62" t="s">
        <v>195</v>
      </c>
      <c r="J62">
        <v>21.5</v>
      </c>
      <c r="K62">
        <v>0</v>
      </c>
      <c r="L62">
        <v>0</v>
      </c>
      <c r="M62" t="s">
        <v>194</v>
      </c>
    </row>
    <row r="63" spans="1:13" x14ac:dyDescent="0.25">
      <c r="A63" s="64">
        <v>45650</v>
      </c>
      <c r="B63" t="s">
        <v>218</v>
      </c>
      <c r="C63">
        <v>0</v>
      </c>
      <c r="D63" t="s">
        <v>193</v>
      </c>
      <c r="E63">
        <v>0</v>
      </c>
      <c r="F63">
        <v>0</v>
      </c>
      <c r="G63">
        <v>0</v>
      </c>
      <c r="H63">
        <v>0</v>
      </c>
      <c r="I63" t="s">
        <v>195</v>
      </c>
      <c r="J63">
        <v>21.5</v>
      </c>
      <c r="K63">
        <v>0</v>
      </c>
      <c r="L63">
        <v>0</v>
      </c>
      <c r="M63" t="s">
        <v>194</v>
      </c>
    </row>
    <row r="64" spans="1:13" x14ac:dyDescent="0.25">
      <c r="A64" s="64">
        <v>45652</v>
      </c>
      <c r="B64" t="s">
        <v>218</v>
      </c>
      <c r="C64">
        <v>0</v>
      </c>
      <c r="D64" t="s">
        <v>193</v>
      </c>
      <c r="E64">
        <v>0</v>
      </c>
      <c r="F64">
        <v>0</v>
      </c>
      <c r="G64">
        <v>0</v>
      </c>
      <c r="H64">
        <v>0</v>
      </c>
      <c r="I64" t="s">
        <v>195</v>
      </c>
      <c r="J64">
        <v>21.5</v>
      </c>
      <c r="K64">
        <v>0</v>
      </c>
      <c r="L64">
        <v>0</v>
      </c>
      <c r="M64" t="s">
        <v>194</v>
      </c>
    </row>
    <row r="65" spans="1:13" x14ac:dyDescent="0.25">
      <c r="A65" s="64">
        <v>45653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>
        <v>0</v>
      </c>
      <c r="I65" t="s">
        <v>195</v>
      </c>
      <c r="J65">
        <v>21.5</v>
      </c>
      <c r="K65">
        <v>0</v>
      </c>
      <c r="L65">
        <v>0</v>
      </c>
      <c r="M65" t="s">
        <v>194</v>
      </c>
    </row>
    <row r="66" spans="1:13" x14ac:dyDescent="0.25">
      <c r="A66" s="64">
        <v>45642</v>
      </c>
      <c r="B66" t="s">
        <v>218</v>
      </c>
      <c r="C66">
        <v>10</v>
      </c>
      <c r="D66" t="s">
        <v>350</v>
      </c>
      <c r="E66">
        <v>0.5</v>
      </c>
      <c r="F66">
        <v>9.6829999999999998</v>
      </c>
      <c r="G66">
        <v>9.1829999999999998</v>
      </c>
      <c r="H66">
        <v>75.522000000000006</v>
      </c>
      <c r="I66" t="s">
        <v>348</v>
      </c>
      <c r="J66">
        <v>21.5</v>
      </c>
      <c r="K66">
        <v>215</v>
      </c>
      <c r="L66">
        <v>0</v>
      </c>
      <c r="M66" t="s">
        <v>381</v>
      </c>
    </row>
    <row r="67" spans="1:13" x14ac:dyDescent="0.25">
      <c r="A67" s="64">
        <v>45643</v>
      </c>
      <c r="B67" t="s">
        <v>218</v>
      </c>
      <c r="C67">
        <v>9</v>
      </c>
      <c r="D67" t="s">
        <v>350</v>
      </c>
      <c r="E67">
        <v>0.5</v>
      </c>
      <c r="F67">
        <v>10.083</v>
      </c>
      <c r="G67">
        <v>9.5830000000000002</v>
      </c>
      <c r="H67">
        <v>99.388999999999996</v>
      </c>
      <c r="I67" t="s">
        <v>348</v>
      </c>
      <c r="J67">
        <v>21.5</v>
      </c>
      <c r="K67">
        <v>193.5</v>
      </c>
      <c r="L67">
        <v>0</v>
      </c>
      <c r="M67" t="s">
        <v>381</v>
      </c>
    </row>
    <row r="68" spans="1:13" x14ac:dyDescent="0.25">
      <c r="A68" s="64">
        <v>45644</v>
      </c>
      <c r="B68" t="s">
        <v>218</v>
      </c>
      <c r="C68">
        <v>12</v>
      </c>
      <c r="D68" t="s">
        <v>350</v>
      </c>
      <c r="E68">
        <v>0.5</v>
      </c>
      <c r="F68">
        <v>11.266999999999999</v>
      </c>
      <c r="G68">
        <v>10.766999999999999</v>
      </c>
      <c r="H68">
        <v>132.70099999999999</v>
      </c>
      <c r="I68" t="s">
        <v>348</v>
      </c>
      <c r="J68">
        <v>21.5</v>
      </c>
      <c r="K68">
        <v>258</v>
      </c>
      <c r="L68">
        <v>2.8</v>
      </c>
      <c r="M68" t="s">
        <v>381</v>
      </c>
    </row>
    <row r="69" spans="1:13" x14ac:dyDescent="0.25">
      <c r="A69" s="64">
        <v>45645</v>
      </c>
      <c r="B69" t="s">
        <v>218</v>
      </c>
      <c r="C69">
        <v>14</v>
      </c>
      <c r="D69" t="s">
        <v>350</v>
      </c>
      <c r="E69">
        <v>0.5</v>
      </c>
      <c r="F69">
        <v>11.617000000000001</v>
      </c>
      <c r="G69">
        <v>11.117000000000001</v>
      </c>
      <c r="H69">
        <v>125.218</v>
      </c>
      <c r="I69" t="s">
        <v>348</v>
      </c>
      <c r="J69">
        <v>21.5</v>
      </c>
      <c r="K69">
        <v>301</v>
      </c>
      <c r="L69">
        <v>2.8</v>
      </c>
      <c r="M69" t="s">
        <v>381</v>
      </c>
    </row>
    <row r="70" spans="1:13" x14ac:dyDescent="0.25">
      <c r="A70" s="64">
        <v>45646</v>
      </c>
      <c r="B70" t="s">
        <v>218</v>
      </c>
      <c r="C70">
        <v>13</v>
      </c>
      <c r="D70" t="s">
        <v>350</v>
      </c>
      <c r="E70">
        <v>0.5</v>
      </c>
      <c r="F70">
        <v>9.9169999999999998</v>
      </c>
      <c r="G70">
        <v>9.4169999999999998</v>
      </c>
      <c r="H70">
        <v>109.554</v>
      </c>
      <c r="I70" t="s">
        <v>348</v>
      </c>
      <c r="J70">
        <v>21.5</v>
      </c>
      <c r="K70">
        <v>279.5</v>
      </c>
      <c r="L70">
        <v>5.6</v>
      </c>
      <c r="M70" t="s">
        <v>381</v>
      </c>
    </row>
    <row r="71" spans="1:13" x14ac:dyDescent="0.25">
      <c r="A71" s="64">
        <v>45649</v>
      </c>
      <c r="B71" t="s">
        <v>218</v>
      </c>
      <c r="C71">
        <v>13</v>
      </c>
      <c r="D71" t="s">
        <v>350</v>
      </c>
      <c r="E71">
        <v>0.5</v>
      </c>
      <c r="F71">
        <v>10.6</v>
      </c>
      <c r="G71">
        <v>10.1</v>
      </c>
      <c r="H71">
        <v>115.343</v>
      </c>
      <c r="I71" t="s">
        <v>348</v>
      </c>
      <c r="J71">
        <v>21.5</v>
      </c>
      <c r="K71">
        <v>279.5</v>
      </c>
      <c r="L71">
        <v>5.6</v>
      </c>
      <c r="M71" t="s">
        <v>381</v>
      </c>
    </row>
    <row r="72" spans="1:13" x14ac:dyDescent="0.25">
      <c r="A72" s="64">
        <v>45650</v>
      </c>
      <c r="B72" t="s">
        <v>218</v>
      </c>
      <c r="C72">
        <v>10</v>
      </c>
      <c r="D72" t="s">
        <v>350</v>
      </c>
      <c r="E72">
        <v>0.5</v>
      </c>
      <c r="F72">
        <v>9.9499999999999993</v>
      </c>
      <c r="G72">
        <v>9.4499999999999993</v>
      </c>
      <c r="H72">
        <v>147.31299999999999</v>
      </c>
      <c r="I72" t="s">
        <v>348</v>
      </c>
      <c r="J72">
        <v>21.5</v>
      </c>
      <c r="K72">
        <v>215</v>
      </c>
      <c r="L72">
        <v>5.6</v>
      </c>
      <c r="M72" t="s">
        <v>381</v>
      </c>
    </row>
    <row r="73" spans="1:13" x14ac:dyDescent="0.25">
      <c r="A73" s="64">
        <v>45652</v>
      </c>
      <c r="B73" t="s">
        <v>218</v>
      </c>
      <c r="C73">
        <v>10</v>
      </c>
      <c r="D73" t="s">
        <v>350</v>
      </c>
      <c r="E73">
        <v>0.5</v>
      </c>
      <c r="F73">
        <v>10.317</v>
      </c>
      <c r="G73">
        <v>9.8170000000000002</v>
      </c>
      <c r="H73">
        <v>95.177000000000007</v>
      </c>
      <c r="I73" t="s">
        <v>348</v>
      </c>
      <c r="J73">
        <v>21.5</v>
      </c>
      <c r="K73">
        <v>215</v>
      </c>
      <c r="L73">
        <v>0</v>
      </c>
      <c r="M73" t="s">
        <v>381</v>
      </c>
    </row>
    <row r="74" spans="1:13" x14ac:dyDescent="0.25">
      <c r="A74" s="64">
        <v>45653</v>
      </c>
      <c r="B74" t="s">
        <v>218</v>
      </c>
      <c r="C74">
        <v>0</v>
      </c>
      <c r="D74" t="s">
        <v>350</v>
      </c>
      <c r="E74">
        <v>0</v>
      </c>
      <c r="F74">
        <v>0</v>
      </c>
      <c r="G74">
        <v>0</v>
      </c>
      <c r="H74">
        <v>0</v>
      </c>
      <c r="I74" t="s">
        <v>348</v>
      </c>
      <c r="J74">
        <v>21.5</v>
      </c>
      <c r="K74">
        <v>0</v>
      </c>
      <c r="L74">
        <v>0</v>
      </c>
      <c r="M74" t="s">
        <v>381</v>
      </c>
    </row>
    <row r="75" spans="1:13" x14ac:dyDescent="0.25">
      <c r="A75" s="64">
        <v>45642</v>
      </c>
      <c r="B75" t="s">
        <v>218</v>
      </c>
      <c r="C75">
        <v>13</v>
      </c>
      <c r="D75" t="s">
        <v>253</v>
      </c>
      <c r="E75">
        <v>0.5</v>
      </c>
      <c r="F75">
        <v>12.117000000000001</v>
      </c>
      <c r="G75">
        <v>11.617000000000001</v>
      </c>
      <c r="H75">
        <v>111.532</v>
      </c>
      <c r="I75" t="s">
        <v>385</v>
      </c>
      <c r="J75">
        <v>21.5</v>
      </c>
      <c r="K75">
        <v>279.5</v>
      </c>
      <c r="L75">
        <v>5.6</v>
      </c>
      <c r="M75" t="s">
        <v>339</v>
      </c>
    </row>
    <row r="76" spans="1:13" x14ac:dyDescent="0.25">
      <c r="A76" s="64">
        <v>45643</v>
      </c>
      <c r="B76" t="s">
        <v>218</v>
      </c>
      <c r="C76">
        <v>10</v>
      </c>
      <c r="D76" t="s">
        <v>253</v>
      </c>
      <c r="E76">
        <v>0.5</v>
      </c>
      <c r="F76">
        <v>10.266999999999999</v>
      </c>
      <c r="G76">
        <v>9.7669999999999995</v>
      </c>
      <c r="H76">
        <v>119.911</v>
      </c>
      <c r="I76" t="s">
        <v>385</v>
      </c>
      <c r="J76">
        <v>21.5</v>
      </c>
      <c r="K76">
        <v>215</v>
      </c>
      <c r="L76">
        <v>0</v>
      </c>
      <c r="M76" t="s">
        <v>339</v>
      </c>
    </row>
    <row r="77" spans="1:13" x14ac:dyDescent="0.25">
      <c r="A77" s="64">
        <v>45644</v>
      </c>
      <c r="B77" t="s">
        <v>218</v>
      </c>
      <c r="C77">
        <v>16</v>
      </c>
      <c r="D77" t="s">
        <v>253</v>
      </c>
      <c r="E77">
        <v>0.5</v>
      </c>
      <c r="F77">
        <v>10.6</v>
      </c>
      <c r="G77">
        <v>10.1</v>
      </c>
      <c r="H77">
        <v>142.977</v>
      </c>
      <c r="I77" t="s">
        <v>385</v>
      </c>
      <c r="J77">
        <v>21.5</v>
      </c>
      <c r="K77">
        <v>344</v>
      </c>
      <c r="L77">
        <v>0</v>
      </c>
      <c r="M77" t="s">
        <v>339</v>
      </c>
    </row>
    <row r="78" spans="1:13" x14ac:dyDescent="0.25">
      <c r="A78" s="64">
        <v>45645</v>
      </c>
      <c r="B78" t="s">
        <v>218</v>
      </c>
      <c r="C78">
        <v>13</v>
      </c>
      <c r="D78" t="s">
        <v>253</v>
      </c>
      <c r="E78">
        <v>0.5</v>
      </c>
      <c r="F78">
        <v>9.7170000000000005</v>
      </c>
      <c r="G78">
        <v>9.2170000000000005</v>
      </c>
      <c r="H78">
        <v>129.52000000000001</v>
      </c>
      <c r="I78" t="s">
        <v>385</v>
      </c>
      <c r="J78">
        <v>21.5</v>
      </c>
      <c r="K78">
        <v>279.5</v>
      </c>
      <c r="L78">
        <v>0</v>
      </c>
      <c r="M78" t="s">
        <v>339</v>
      </c>
    </row>
    <row r="79" spans="1:13" x14ac:dyDescent="0.25">
      <c r="A79" s="64">
        <v>45646</v>
      </c>
      <c r="B79" t="s">
        <v>218</v>
      </c>
      <c r="C79">
        <v>12</v>
      </c>
      <c r="D79" t="s">
        <v>253</v>
      </c>
      <c r="E79">
        <v>0.5</v>
      </c>
      <c r="F79">
        <v>9.7829999999999995</v>
      </c>
      <c r="G79">
        <v>9.2829999999999995</v>
      </c>
      <c r="H79">
        <v>118.87</v>
      </c>
      <c r="I79" t="s">
        <v>385</v>
      </c>
      <c r="J79">
        <v>21.5</v>
      </c>
      <c r="K79">
        <v>258</v>
      </c>
      <c r="L79">
        <v>2.8</v>
      </c>
      <c r="M79" t="s">
        <v>339</v>
      </c>
    </row>
    <row r="80" spans="1:13" x14ac:dyDescent="0.25">
      <c r="A80" s="64">
        <v>45649</v>
      </c>
      <c r="B80" t="s">
        <v>218</v>
      </c>
      <c r="C80">
        <v>13</v>
      </c>
      <c r="D80" t="s">
        <v>253</v>
      </c>
      <c r="E80">
        <v>0.5</v>
      </c>
      <c r="F80">
        <v>10.4</v>
      </c>
      <c r="G80">
        <v>9.9</v>
      </c>
      <c r="H80">
        <v>139.68</v>
      </c>
      <c r="I80" t="s">
        <v>385</v>
      </c>
      <c r="J80">
        <v>21.5</v>
      </c>
      <c r="K80">
        <v>279.5</v>
      </c>
      <c r="L80">
        <v>0</v>
      </c>
      <c r="M80" t="s">
        <v>339</v>
      </c>
    </row>
    <row r="81" spans="1:13" x14ac:dyDescent="0.25">
      <c r="A81" s="64">
        <v>45650</v>
      </c>
      <c r="B81" t="s">
        <v>218</v>
      </c>
      <c r="C81">
        <v>12</v>
      </c>
      <c r="D81" t="s">
        <v>253</v>
      </c>
      <c r="E81">
        <v>0.5</v>
      </c>
      <c r="F81">
        <v>9.9830000000000005</v>
      </c>
      <c r="G81">
        <v>9.4830000000000005</v>
      </c>
      <c r="H81">
        <v>110.309</v>
      </c>
      <c r="I81" t="s">
        <v>385</v>
      </c>
      <c r="J81">
        <v>21.5</v>
      </c>
      <c r="K81">
        <v>258</v>
      </c>
      <c r="L81">
        <v>0</v>
      </c>
      <c r="M81" t="s">
        <v>339</v>
      </c>
    </row>
    <row r="82" spans="1:13" x14ac:dyDescent="0.25">
      <c r="A82" s="64">
        <v>45652</v>
      </c>
      <c r="B82" t="s">
        <v>218</v>
      </c>
      <c r="C82">
        <v>12</v>
      </c>
      <c r="D82" t="s">
        <v>253</v>
      </c>
      <c r="E82">
        <v>0.5</v>
      </c>
      <c r="F82">
        <v>9.9830000000000005</v>
      </c>
      <c r="G82">
        <v>9.4830000000000005</v>
      </c>
      <c r="H82">
        <v>122.086</v>
      </c>
      <c r="I82" t="s">
        <v>385</v>
      </c>
      <c r="J82">
        <v>21.5</v>
      </c>
      <c r="K82">
        <v>258</v>
      </c>
      <c r="L82">
        <v>2.8</v>
      </c>
      <c r="M82" t="s">
        <v>339</v>
      </c>
    </row>
    <row r="83" spans="1:13" x14ac:dyDescent="0.25">
      <c r="A83" s="64">
        <v>45653</v>
      </c>
      <c r="B83" t="s">
        <v>218</v>
      </c>
      <c r="C83">
        <v>13</v>
      </c>
      <c r="D83" t="s">
        <v>253</v>
      </c>
      <c r="E83">
        <v>0.5</v>
      </c>
      <c r="F83">
        <v>10.15</v>
      </c>
      <c r="G83">
        <v>9.65</v>
      </c>
      <c r="H83">
        <v>102.32299999999999</v>
      </c>
      <c r="I83" t="s">
        <v>385</v>
      </c>
      <c r="J83">
        <v>21.5</v>
      </c>
      <c r="K83">
        <v>279.5</v>
      </c>
      <c r="L83">
        <v>5.6</v>
      </c>
      <c r="M83" t="s">
        <v>339</v>
      </c>
    </row>
    <row r="84" spans="1:13" x14ac:dyDescent="0.25">
      <c r="A84" s="64">
        <v>45642</v>
      </c>
      <c r="B84" t="s">
        <v>218</v>
      </c>
      <c r="C84">
        <v>15</v>
      </c>
      <c r="D84" t="s">
        <v>202</v>
      </c>
      <c r="E84">
        <v>0.5</v>
      </c>
      <c r="F84">
        <v>10.4</v>
      </c>
      <c r="G84">
        <v>9.9</v>
      </c>
      <c r="H84">
        <v>140.654</v>
      </c>
      <c r="I84" t="s">
        <v>204</v>
      </c>
      <c r="J84">
        <v>21.5</v>
      </c>
      <c r="K84">
        <v>322.5</v>
      </c>
      <c r="L84">
        <v>5.6</v>
      </c>
      <c r="M84" t="s">
        <v>203</v>
      </c>
    </row>
    <row r="85" spans="1:13" x14ac:dyDescent="0.25">
      <c r="A85" s="64">
        <v>45643</v>
      </c>
      <c r="B85" t="s">
        <v>218</v>
      </c>
      <c r="C85">
        <v>13</v>
      </c>
      <c r="D85" t="s">
        <v>202</v>
      </c>
      <c r="E85">
        <v>0.5</v>
      </c>
      <c r="F85">
        <v>10.417</v>
      </c>
      <c r="G85">
        <v>9.9169999999999998</v>
      </c>
      <c r="H85">
        <v>98.076999999999998</v>
      </c>
      <c r="I85" t="s">
        <v>204</v>
      </c>
      <c r="J85">
        <v>21.5</v>
      </c>
      <c r="K85">
        <v>279.5</v>
      </c>
      <c r="L85">
        <v>8.4</v>
      </c>
      <c r="M85" t="s">
        <v>203</v>
      </c>
    </row>
    <row r="86" spans="1:13" x14ac:dyDescent="0.25">
      <c r="A86" s="64">
        <v>45644</v>
      </c>
      <c r="B86" t="s">
        <v>218</v>
      </c>
      <c r="C86">
        <v>18</v>
      </c>
      <c r="D86" t="s">
        <v>202</v>
      </c>
      <c r="E86">
        <v>0.5</v>
      </c>
      <c r="F86">
        <v>10.516999999999999</v>
      </c>
      <c r="G86">
        <v>10.016999999999999</v>
      </c>
      <c r="H86">
        <v>117.212</v>
      </c>
      <c r="I86" t="s">
        <v>204</v>
      </c>
      <c r="J86">
        <v>21.5</v>
      </c>
      <c r="K86">
        <v>387</v>
      </c>
      <c r="L86">
        <v>11.2</v>
      </c>
      <c r="M86" t="s">
        <v>203</v>
      </c>
    </row>
    <row r="87" spans="1:13" x14ac:dyDescent="0.25">
      <c r="A87" s="64">
        <v>45645</v>
      </c>
      <c r="B87" t="s">
        <v>218</v>
      </c>
      <c r="C87">
        <v>16</v>
      </c>
      <c r="D87" t="s">
        <v>202</v>
      </c>
      <c r="E87">
        <v>0.5</v>
      </c>
      <c r="F87">
        <v>10.45</v>
      </c>
      <c r="G87">
        <v>9.9499999999999993</v>
      </c>
      <c r="H87">
        <v>132.077</v>
      </c>
      <c r="I87" t="s">
        <v>204</v>
      </c>
      <c r="J87">
        <v>21.5</v>
      </c>
      <c r="K87">
        <v>344</v>
      </c>
      <c r="L87">
        <v>0</v>
      </c>
      <c r="M87" t="s">
        <v>203</v>
      </c>
    </row>
    <row r="88" spans="1:13" x14ac:dyDescent="0.25">
      <c r="A88" s="64">
        <v>45646</v>
      </c>
      <c r="B88" t="s">
        <v>218</v>
      </c>
      <c r="C88">
        <v>12</v>
      </c>
      <c r="D88" t="s">
        <v>202</v>
      </c>
      <c r="E88">
        <v>0.5</v>
      </c>
      <c r="F88">
        <v>10.45</v>
      </c>
      <c r="G88">
        <v>9.9499999999999993</v>
      </c>
      <c r="H88">
        <v>137.53</v>
      </c>
      <c r="I88" t="s">
        <v>204</v>
      </c>
      <c r="J88">
        <v>21.5</v>
      </c>
      <c r="K88">
        <v>258</v>
      </c>
      <c r="L88">
        <v>5.6</v>
      </c>
      <c r="M88" t="s">
        <v>203</v>
      </c>
    </row>
    <row r="89" spans="1:13" x14ac:dyDescent="0.25">
      <c r="A89" s="64">
        <v>45649</v>
      </c>
      <c r="B89" t="s">
        <v>218</v>
      </c>
      <c r="C89">
        <v>12</v>
      </c>
      <c r="D89" t="s">
        <v>202</v>
      </c>
      <c r="E89">
        <v>0.5</v>
      </c>
      <c r="F89">
        <v>10.417</v>
      </c>
      <c r="G89">
        <v>9.9169999999999998</v>
      </c>
      <c r="H89">
        <v>118.005</v>
      </c>
      <c r="I89" t="s">
        <v>204</v>
      </c>
      <c r="J89">
        <v>21.5</v>
      </c>
      <c r="K89">
        <v>258</v>
      </c>
      <c r="L89">
        <v>5.6</v>
      </c>
      <c r="M89" t="s">
        <v>203</v>
      </c>
    </row>
    <row r="90" spans="1:13" x14ac:dyDescent="0.25">
      <c r="A90" s="64">
        <v>45650</v>
      </c>
      <c r="B90" t="s">
        <v>218</v>
      </c>
      <c r="C90">
        <v>12</v>
      </c>
      <c r="D90" t="s">
        <v>202</v>
      </c>
      <c r="E90">
        <v>0.5</v>
      </c>
      <c r="F90">
        <v>10.617000000000001</v>
      </c>
      <c r="G90">
        <v>10.117000000000001</v>
      </c>
      <c r="H90">
        <v>117.643</v>
      </c>
      <c r="I90" t="s">
        <v>204</v>
      </c>
      <c r="J90">
        <v>21.5</v>
      </c>
      <c r="K90">
        <v>258</v>
      </c>
      <c r="L90">
        <v>2.8</v>
      </c>
      <c r="M90" t="s">
        <v>203</v>
      </c>
    </row>
    <row r="91" spans="1:13" x14ac:dyDescent="0.25">
      <c r="A91" s="64">
        <v>45652</v>
      </c>
      <c r="B91" t="s">
        <v>218</v>
      </c>
      <c r="C91">
        <v>8</v>
      </c>
      <c r="D91" t="s">
        <v>202</v>
      </c>
      <c r="E91">
        <v>0.5</v>
      </c>
      <c r="F91">
        <v>10.067</v>
      </c>
      <c r="G91">
        <v>9.5670000000000002</v>
      </c>
      <c r="H91">
        <v>110.379</v>
      </c>
      <c r="I91" t="s">
        <v>204</v>
      </c>
      <c r="J91">
        <v>21.5</v>
      </c>
      <c r="K91">
        <v>172</v>
      </c>
      <c r="L91">
        <v>5.6</v>
      </c>
      <c r="M91" t="s">
        <v>203</v>
      </c>
    </row>
    <row r="92" spans="1:13" x14ac:dyDescent="0.25">
      <c r="A92" s="64">
        <v>45653</v>
      </c>
      <c r="B92" t="s">
        <v>218</v>
      </c>
      <c r="C92">
        <v>12</v>
      </c>
      <c r="D92" t="s">
        <v>202</v>
      </c>
      <c r="E92">
        <v>0.5</v>
      </c>
      <c r="F92">
        <v>10.067</v>
      </c>
      <c r="G92">
        <v>9.5670000000000002</v>
      </c>
      <c r="H92">
        <v>133.56399999999999</v>
      </c>
      <c r="I92" t="s">
        <v>204</v>
      </c>
      <c r="J92">
        <v>21.5</v>
      </c>
      <c r="K92">
        <v>258</v>
      </c>
      <c r="L92">
        <v>2.8</v>
      </c>
      <c r="M92" t="s">
        <v>203</v>
      </c>
    </row>
    <row r="93" spans="1:13" x14ac:dyDescent="0.25">
      <c r="A93" s="64">
        <v>45642</v>
      </c>
      <c r="B93" t="s">
        <v>218</v>
      </c>
      <c r="C93">
        <v>11</v>
      </c>
      <c r="D93" t="s">
        <v>205</v>
      </c>
      <c r="E93">
        <v>0.5</v>
      </c>
      <c r="F93">
        <v>10.417</v>
      </c>
      <c r="G93">
        <v>9.9169999999999998</v>
      </c>
      <c r="H93">
        <v>134.453</v>
      </c>
      <c r="I93" t="s">
        <v>344</v>
      </c>
      <c r="J93">
        <v>21.5</v>
      </c>
      <c r="K93">
        <v>236.5</v>
      </c>
      <c r="L93">
        <v>0</v>
      </c>
      <c r="M93" t="s">
        <v>206</v>
      </c>
    </row>
    <row r="94" spans="1:13" x14ac:dyDescent="0.25">
      <c r="A94" s="64">
        <v>45643</v>
      </c>
      <c r="B94" t="s">
        <v>218</v>
      </c>
      <c r="C94">
        <v>14</v>
      </c>
      <c r="D94" t="s">
        <v>205</v>
      </c>
      <c r="E94">
        <v>0.5</v>
      </c>
      <c r="F94">
        <v>11.1</v>
      </c>
      <c r="G94">
        <v>10.6</v>
      </c>
      <c r="H94">
        <v>139.94200000000001</v>
      </c>
      <c r="I94" t="s">
        <v>344</v>
      </c>
      <c r="J94">
        <v>21.5</v>
      </c>
      <c r="K94">
        <v>301</v>
      </c>
      <c r="L94">
        <v>0</v>
      </c>
      <c r="M94" t="s">
        <v>206</v>
      </c>
    </row>
    <row r="95" spans="1:13" x14ac:dyDescent="0.25">
      <c r="A95" s="64">
        <v>45644</v>
      </c>
      <c r="B95" t="s">
        <v>218</v>
      </c>
      <c r="C95">
        <v>12</v>
      </c>
      <c r="D95" t="s">
        <v>205</v>
      </c>
      <c r="E95">
        <v>0.5</v>
      </c>
      <c r="F95">
        <v>10.45</v>
      </c>
      <c r="G95">
        <v>9.9499999999999993</v>
      </c>
      <c r="H95">
        <v>96.42</v>
      </c>
      <c r="I95" t="s">
        <v>344</v>
      </c>
      <c r="J95">
        <v>21.5</v>
      </c>
      <c r="K95">
        <v>258</v>
      </c>
      <c r="L95">
        <v>2.8</v>
      </c>
      <c r="M95" t="s">
        <v>206</v>
      </c>
    </row>
    <row r="96" spans="1:13" x14ac:dyDescent="0.25">
      <c r="A96" s="64">
        <v>45645</v>
      </c>
      <c r="B96" t="s">
        <v>218</v>
      </c>
      <c r="C96">
        <v>10</v>
      </c>
      <c r="D96" t="s">
        <v>205</v>
      </c>
      <c r="E96">
        <v>0.5</v>
      </c>
      <c r="F96">
        <v>9.7330000000000005</v>
      </c>
      <c r="G96">
        <v>9.2330000000000005</v>
      </c>
      <c r="H96">
        <v>86.468999999999994</v>
      </c>
      <c r="I96" t="s">
        <v>344</v>
      </c>
      <c r="J96">
        <v>21.5</v>
      </c>
      <c r="K96">
        <v>215</v>
      </c>
      <c r="L96">
        <v>5.6</v>
      </c>
      <c r="M96" t="s">
        <v>206</v>
      </c>
    </row>
    <row r="97" spans="1:13" x14ac:dyDescent="0.25">
      <c r="A97" s="64">
        <v>45646</v>
      </c>
      <c r="B97" t="s">
        <v>218</v>
      </c>
      <c r="C97">
        <v>16</v>
      </c>
      <c r="D97" t="s">
        <v>205</v>
      </c>
      <c r="E97">
        <v>0.5</v>
      </c>
      <c r="F97">
        <v>11.183</v>
      </c>
      <c r="G97">
        <v>10.683</v>
      </c>
      <c r="H97">
        <v>146.435</v>
      </c>
      <c r="I97" t="s">
        <v>344</v>
      </c>
      <c r="J97">
        <v>21.5</v>
      </c>
      <c r="K97">
        <v>344</v>
      </c>
      <c r="L97">
        <v>5.6</v>
      </c>
      <c r="M97" t="s">
        <v>206</v>
      </c>
    </row>
    <row r="98" spans="1:13" x14ac:dyDescent="0.25">
      <c r="A98" s="64">
        <v>45649</v>
      </c>
      <c r="B98" t="s">
        <v>218</v>
      </c>
      <c r="C98">
        <v>15</v>
      </c>
      <c r="D98" t="s">
        <v>205</v>
      </c>
      <c r="E98">
        <v>0.5</v>
      </c>
      <c r="F98">
        <v>10.683</v>
      </c>
      <c r="G98">
        <v>10.183</v>
      </c>
      <c r="H98">
        <v>106.307</v>
      </c>
      <c r="I98" t="s">
        <v>344</v>
      </c>
      <c r="J98">
        <v>21.5</v>
      </c>
      <c r="K98">
        <v>322.5</v>
      </c>
      <c r="L98">
        <v>2.8</v>
      </c>
      <c r="M98" t="s">
        <v>206</v>
      </c>
    </row>
    <row r="99" spans="1:13" x14ac:dyDescent="0.25">
      <c r="A99" s="64">
        <v>45650</v>
      </c>
      <c r="B99" t="s">
        <v>218</v>
      </c>
      <c r="C99">
        <v>7</v>
      </c>
      <c r="D99" t="s">
        <v>205</v>
      </c>
      <c r="E99">
        <v>0.5</v>
      </c>
      <c r="F99">
        <v>9.3829999999999991</v>
      </c>
      <c r="G99">
        <v>8.8829999999999991</v>
      </c>
      <c r="H99">
        <v>78.972999999999999</v>
      </c>
      <c r="I99" t="s">
        <v>344</v>
      </c>
      <c r="J99">
        <v>21.5</v>
      </c>
      <c r="K99">
        <v>150.5</v>
      </c>
      <c r="L99">
        <v>0</v>
      </c>
      <c r="M99" t="s">
        <v>206</v>
      </c>
    </row>
    <row r="100" spans="1:13" x14ac:dyDescent="0.25">
      <c r="A100" s="64">
        <v>45652</v>
      </c>
      <c r="B100" t="s">
        <v>218</v>
      </c>
      <c r="C100">
        <v>0</v>
      </c>
      <c r="D100" t="s">
        <v>205</v>
      </c>
      <c r="E100">
        <v>0</v>
      </c>
      <c r="F100">
        <v>0</v>
      </c>
      <c r="G100">
        <v>0</v>
      </c>
      <c r="H100">
        <v>0</v>
      </c>
      <c r="I100" t="s">
        <v>344</v>
      </c>
      <c r="J100">
        <v>21.5</v>
      </c>
      <c r="K100">
        <v>0</v>
      </c>
      <c r="L100">
        <v>0</v>
      </c>
      <c r="M100" t="s">
        <v>206</v>
      </c>
    </row>
    <row r="101" spans="1:13" x14ac:dyDescent="0.25">
      <c r="A101" s="64">
        <v>45653</v>
      </c>
      <c r="B101" t="s">
        <v>218</v>
      </c>
      <c r="C101">
        <v>13</v>
      </c>
      <c r="D101" t="s">
        <v>205</v>
      </c>
      <c r="E101">
        <v>0.5</v>
      </c>
      <c r="F101">
        <v>10.083</v>
      </c>
      <c r="G101">
        <v>9.5830000000000002</v>
      </c>
      <c r="H101">
        <v>89.525000000000006</v>
      </c>
      <c r="I101" t="s">
        <v>344</v>
      </c>
      <c r="J101">
        <v>21.5</v>
      </c>
      <c r="K101">
        <v>279.5</v>
      </c>
      <c r="L101">
        <v>0</v>
      </c>
      <c r="M101" t="s">
        <v>206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18"/>
  <sheetViews>
    <sheetView showGridLines="0" workbookViewId="0">
      <selection activeCell="K2" sqref="K2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219</v>
      </c>
      <c r="B1" t="s">
        <v>220</v>
      </c>
      <c r="C1" t="s">
        <v>221</v>
      </c>
      <c r="D1" t="s">
        <v>222</v>
      </c>
      <c r="E1" t="s">
        <v>30</v>
      </c>
      <c r="F1" t="s">
        <v>32</v>
      </c>
      <c r="G1" t="s">
        <v>223</v>
      </c>
      <c r="H1" t="s">
        <v>28</v>
      </c>
      <c r="I1" t="s">
        <v>29</v>
      </c>
      <c r="J1" t="s">
        <v>34</v>
      </c>
      <c r="K1" t="s">
        <v>224</v>
      </c>
    </row>
    <row r="2" spans="1:11" x14ac:dyDescent="0.25">
      <c r="A2" t="s">
        <v>213</v>
      </c>
      <c r="B2">
        <v>185</v>
      </c>
      <c r="C2">
        <v>2</v>
      </c>
      <c r="D2">
        <v>370</v>
      </c>
      <c r="E2">
        <v>0</v>
      </c>
      <c r="F2">
        <v>300</v>
      </c>
      <c r="G2">
        <v>0</v>
      </c>
      <c r="H2">
        <v>0</v>
      </c>
      <c r="I2">
        <v>0</v>
      </c>
      <c r="J2">
        <v>0</v>
      </c>
      <c r="K2" t="s">
        <v>225</v>
      </c>
    </row>
    <row r="3" spans="1:11" x14ac:dyDescent="0.25">
      <c r="A3" t="s">
        <v>201</v>
      </c>
      <c r="B3">
        <v>185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225</v>
      </c>
    </row>
    <row r="4" spans="1:11" x14ac:dyDescent="0.25">
      <c r="A4" t="s">
        <v>115</v>
      </c>
      <c r="B4">
        <v>92.5</v>
      </c>
      <c r="C4">
        <v>2</v>
      </c>
      <c r="D4">
        <v>185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226</v>
      </c>
    </row>
    <row r="5" spans="1:11" x14ac:dyDescent="0.25">
      <c r="A5" t="s">
        <v>384</v>
      </c>
      <c r="B5">
        <v>92.5</v>
      </c>
      <c r="C5">
        <v>2</v>
      </c>
      <c r="D5">
        <v>185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226</v>
      </c>
    </row>
    <row r="6" spans="1:11" x14ac:dyDescent="0.25">
      <c r="A6" t="s">
        <v>348</v>
      </c>
      <c r="B6">
        <v>185</v>
      </c>
      <c r="C6">
        <v>2</v>
      </c>
      <c r="D6">
        <v>370</v>
      </c>
      <c r="E6">
        <v>0</v>
      </c>
      <c r="F6">
        <v>150</v>
      </c>
      <c r="G6">
        <v>0</v>
      </c>
      <c r="H6">
        <v>0</v>
      </c>
      <c r="I6">
        <v>0</v>
      </c>
      <c r="J6">
        <v>0</v>
      </c>
      <c r="K6" t="s">
        <v>225</v>
      </c>
    </row>
    <row r="7" spans="1:11" x14ac:dyDescent="0.25">
      <c r="A7" t="s">
        <v>112</v>
      </c>
      <c r="B7">
        <v>185</v>
      </c>
      <c r="C7">
        <v>2</v>
      </c>
      <c r="D7">
        <v>370</v>
      </c>
      <c r="E7">
        <v>0</v>
      </c>
      <c r="F7">
        <v>0</v>
      </c>
      <c r="G7">
        <v>0</v>
      </c>
      <c r="H7">
        <v>200</v>
      </c>
      <c r="I7">
        <v>0</v>
      </c>
      <c r="J7">
        <v>0</v>
      </c>
      <c r="K7" t="s">
        <v>225</v>
      </c>
    </row>
    <row r="8" spans="1:11" x14ac:dyDescent="0.25">
      <c r="A8" t="s">
        <v>112</v>
      </c>
      <c r="B8">
        <v>92.5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226</v>
      </c>
    </row>
    <row r="9" spans="1:11" x14ac:dyDescent="0.25">
      <c r="A9" t="s">
        <v>109</v>
      </c>
      <c r="B9">
        <v>92.5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t="s">
        <v>226</v>
      </c>
    </row>
    <row r="10" spans="1:11" x14ac:dyDescent="0.25">
      <c r="A10" t="s">
        <v>204</v>
      </c>
      <c r="B10">
        <v>185</v>
      </c>
      <c r="C10">
        <v>2</v>
      </c>
      <c r="D10">
        <v>370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225</v>
      </c>
    </row>
    <row r="11" spans="1:11" x14ac:dyDescent="0.25">
      <c r="A11" t="s">
        <v>210</v>
      </c>
      <c r="B11">
        <v>185</v>
      </c>
      <c r="C11">
        <v>2</v>
      </c>
      <c r="D11">
        <v>370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225</v>
      </c>
    </row>
    <row r="12" spans="1:11" x14ac:dyDescent="0.25">
      <c r="A12" t="s">
        <v>198</v>
      </c>
      <c r="B12">
        <v>185</v>
      </c>
      <c r="C12">
        <v>2</v>
      </c>
      <c r="D12">
        <v>370</v>
      </c>
      <c r="E12">
        <v>0</v>
      </c>
      <c r="F12">
        <v>0</v>
      </c>
      <c r="G12">
        <v>0</v>
      </c>
      <c r="H12">
        <v>0</v>
      </c>
      <c r="I12">
        <v>0</v>
      </c>
      <c r="J12">
        <v>250</v>
      </c>
      <c r="K12" t="s">
        <v>225</v>
      </c>
    </row>
    <row r="13" spans="1:11" x14ac:dyDescent="0.25">
      <c r="A13" t="s">
        <v>382</v>
      </c>
      <c r="B13">
        <v>92.5</v>
      </c>
      <c r="C13">
        <v>2</v>
      </c>
      <c r="D13">
        <v>185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226</v>
      </c>
    </row>
    <row r="14" spans="1:11" x14ac:dyDescent="0.25">
      <c r="A14" t="s">
        <v>207</v>
      </c>
      <c r="B14">
        <v>92.5</v>
      </c>
      <c r="C14">
        <v>2</v>
      </c>
      <c r="D14">
        <v>185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226</v>
      </c>
    </row>
    <row r="15" spans="1:11" x14ac:dyDescent="0.25">
      <c r="A15" t="s">
        <v>385</v>
      </c>
      <c r="B15">
        <v>185</v>
      </c>
      <c r="C15">
        <v>2</v>
      </c>
      <c r="D15">
        <v>370</v>
      </c>
      <c r="E15">
        <v>0</v>
      </c>
      <c r="F15">
        <v>0</v>
      </c>
      <c r="G15">
        <v>0</v>
      </c>
      <c r="H15">
        <v>1000</v>
      </c>
      <c r="I15">
        <v>0</v>
      </c>
      <c r="J15">
        <v>0</v>
      </c>
      <c r="K15" t="s">
        <v>225</v>
      </c>
    </row>
    <row r="16" spans="1:11" x14ac:dyDescent="0.25">
      <c r="A16" t="s">
        <v>344</v>
      </c>
      <c r="B16">
        <v>185</v>
      </c>
      <c r="C16">
        <v>2</v>
      </c>
      <c r="D16">
        <v>370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225</v>
      </c>
    </row>
    <row r="17" spans="1:11" x14ac:dyDescent="0.25">
      <c r="A17" t="s">
        <v>386</v>
      </c>
      <c r="B17">
        <v>185</v>
      </c>
      <c r="C17">
        <v>2</v>
      </c>
      <c r="D17">
        <v>370</v>
      </c>
      <c r="E17">
        <v>0</v>
      </c>
      <c r="F17">
        <v>0</v>
      </c>
      <c r="G17">
        <v>0</v>
      </c>
      <c r="H17">
        <v>1000</v>
      </c>
      <c r="I17">
        <v>0</v>
      </c>
      <c r="J17">
        <v>0</v>
      </c>
      <c r="K17" t="s">
        <v>225</v>
      </c>
    </row>
    <row r="18" spans="1:11" x14ac:dyDescent="0.25">
      <c r="A18" t="s">
        <v>195</v>
      </c>
      <c r="B18">
        <v>185</v>
      </c>
      <c r="C18">
        <v>0</v>
      </c>
      <c r="D18">
        <v>74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225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2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102</v>
      </c>
      <c r="B1" t="s">
        <v>107</v>
      </c>
      <c r="C1" t="s">
        <v>106</v>
      </c>
    </row>
    <row r="2" spans="1:3" x14ac:dyDescent="0.25">
      <c r="A2" t="s">
        <v>386</v>
      </c>
      <c r="B2">
        <v>10029</v>
      </c>
      <c r="C2" t="s">
        <v>343</v>
      </c>
    </row>
    <row r="3" spans="1:3" x14ac:dyDescent="0.25">
      <c r="A3" t="s">
        <v>112</v>
      </c>
      <c r="B3">
        <v>1083</v>
      </c>
      <c r="C3" t="s">
        <v>114</v>
      </c>
    </row>
    <row r="4" spans="1:3" x14ac:dyDescent="0.25">
      <c r="A4" t="s">
        <v>198</v>
      </c>
      <c r="B4">
        <v>1091</v>
      </c>
      <c r="C4" t="s">
        <v>227</v>
      </c>
    </row>
    <row r="5" spans="1:3" x14ac:dyDescent="0.25">
      <c r="A5" t="s">
        <v>204</v>
      </c>
      <c r="B5">
        <v>10024</v>
      </c>
      <c r="C5" t="s">
        <v>228</v>
      </c>
    </row>
    <row r="6" spans="1:3" x14ac:dyDescent="0.25">
      <c r="A6" t="s">
        <v>201</v>
      </c>
      <c r="B6">
        <v>1089</v>
      </c>
      <c r="C6" t="s">
        <v>229</v>
      </c>
    </row>
    <row r="7" spans="1:3" x14ac:dyDescent="0.25">
      <c r="A7" t="s">
        <v>210</v>
      </c>
      <c r="B7">
        <v>1087</v>
      </c>
      <c r="C7" t="s">
        <v>231</v>
      </c>
    </row>
    <row r="8" spans="1:3" x14ac:dyDescent="0.25">
      <c r="A8" t="s">
        <v>195</v>
      </c>
      <c r="B8">
        <v>10027</v>
      </c>
      <c r="C8" t="s">
        <v>232</v>
      </c>
    </row>
    <row r="9" spans="1:3" x14ac:dyDescent="0.25">
      <c r="A9" t="s">
        <v>213</v>
      </c>
      <c r="B9">
        <v>1003</v>
      </c>
      <c r="C9" t="s">
        <v>233</v>
      </c>
    </row>
    <row r="10" spans="1:3" x14ac:dyDescent="0.25">
      <c r="A10" t="s">
        <v>344</v>
      </c>
      <c r="B10">
        <v>10025</v>
      </c>
      <c r="C10" t="s">
        <v>234</v>
      </c>
    </row>
    <row r="11" spans="1:3" x14ac:dyDescent="0.25">
      <c r="A11" t="s">
        <v>385</v>
      </c>
      <c r="B11">
        <v>10028</v>
      </c>
      <c r="C11" t="s">
        <v>346</v>
      </c>
    </row>
    <row r="12" spans="1:3" x14ac:dyDescent="0.25">
      <c r="A12" t="s">
        <v>348</v>
      </c>
      <c r="B12">
        <v>10030</v>
      </c>
      <c r="C12" t="s">
        <v>349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19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102</v>
      </c>
      <c r="B1" t="s">
        <v>103</v>
      </c>
      <c r="C1" t="s">
        <v>214</v>
      </c>
      <c r="D1" t="s">
        <v>104</v>
      </c>
      <c r="E1" t="s">
        <v>235</v>
      </c>
      <c r="F1" t="s">
        <v>236</v>
      </c>
      <c r="G1" t="s">
        <v>105</v>
      </c>
      <c r="H1" t="s">
        <v>106</v>
      </c>
      <c r="I1" t="s">
        <v>107</v>
      </c>
      <c r="J1" t="s">
        <v>108</v>
      </c>
    </row>
    <row r="2" spans="1:10" x14ac:dyDescent="0.25">
      <c r="A2" t="s">
        <v>386</v>
      </c>
      <c r="B2" t="s">
        <v>340</v>
      </c>
      <c r="C2" t="s">
        <v>252</v>
      </c>
      <c r="D2" t="s">
        <v>237</v>
      </c>
      <c r="F2">
        <v>906</v>
      </c>
      <c r="G2" t="s">
        <v>218</v>
      </c>
      <c r="H2" t="s">
        <v>343</v>
      </c>
      <c r="I2">
        <v>10029</v>
      </c>
    </row>
    <row r="3" spans="1:10" x14ac:dyDescent="0.25">
      <c r="A3" t="s">
        <v>112</v>
      </c>
      <c r="B3" t="s">
        <v>192</v>
      </c>
      <c r="C3" t="s">
        <v>191</v>
      </c>
      <c r="D3" t="s">
        <v>237</v>
      </c>
      <c r="F3">
        <v>901</v>
      </c>
      <c r="G3" t="s">
        <v>218</v>
      </c>
      <c r="H3" t="s">
        <v>114</v>
      </c>
      <c r="I3">
        <v>1083</v>
      </c>
    </row>
    <row r="4" spans="1:10" x14ac:dyDescent="0.25">
      <c r="A4" t="s">
        <v>198</v>
      </c>
      <c r="B4" t="s">
        <v>197</v>
      </c>
      <c r="C4" t="s">
        <v>196</v>
      </c>
      <c r="D4" t="s">
        <v>237</v>
      </c>
      <c r="F4">
        <v>902</v>
      </c>
      <c r="G4" t="s">
        <v>218</v>
      </c>
      <c r="H4" t="s">
        <v>227</v>
      </c>
      <c r="I4">
        <v>1091</v>
      </c>
    </row>
    <row r="5" spans="1:10" x14ac:dyDescent="0.25">
      <c r="A5" t="s">
        <v>204</v>
      </c>
      <c r="B5" t="s">
        <v>203</v>
      </c>
      <c r="C5" t="s">
        <v>202</v>
      </c>
      <c r="D5" t="s">
        <v>237</v>
      </c>
      <c r="F5">
        <v>911</v>
      </c>
      <c r="G5" t="s">
        <v>218</v>
      </c>
      <c r="H5" t="s">
        <v>228</v>
      </c>
      <c r="I5">
        <v>10024</v>
      </c>
    </row>
    <row r="6" spans="1:10" x14ac:dyDescent="0.25">
      <c r="A6" t="s">
        <v>201</v>
      </c>
      <c r="B6" t="s">
        <v>200</v>
      </c>
      <c r="C6" t="s">
        <v>199</v>
      </c>
      <c r="D6" t="s">
        <v>237</v>
      </c>
      <c r="F6">
        <v>905</v>
      </c>
      <c r="G6" t="s">
        <v>218</v>
      </c>
      <c r="H6" t="s">
        <v>229</v>
      </c>
      <c r="I6">
        <v>1089</v>
      </c>
    </row>
    <row r="7" spans="1:10" x14ac:dyDescent="0.25">
      <c r="A7" t="s">
        <v>210</v>
      </c>
      <c r="B7" t="s">
        <v>209</v>
      </c>
      <c r="C7" t="s">
        <v>208</v>
      </c>
      <c r="D7" t="s">
        <v>237</v>
      </c>
      <c r="F7">
        <v>904</v>
      </c>
      <c r="G7" t="s">
        <v>218</v>
      </c>
      <c r="H7" t="s">
        <v>231</v>
      </c>
      <c r="I7">
        <v>1087</v>
      </c>
    </row>
    <row r="8" spans="1:10" x14ac:dyDescent="0.25">
      <c r="A8" t="s">
        <v>195</v>
      </c>
      <c r="B8" t="s">
        <v>194</v>
      </c>
      <c r="C8" t="s">
        <v>193</v>
      </c>
      <c r="D8" t="s">
        <v>237</v>
      </c>
      <c r="F8">
        <v>908</v>
      </c>
      <c r="G8" t="s">
        <v>218</v>
      </c>
      <c r="H8" t="s">
        <v>232</v>
      </c>
      <c r="I8">
        <v>10027</v>
      </c>
    </row>
    <row r="9" spans="1:10" x14ac:dyDescent="0.25">
      <c r="A9" t="s">
        <v>213</v>
      </c>
      <c r="B9" t="s">
        <v>212</v>
      </c>
      <c r="C9" t="s">
        <v>211</v>
      </c>
      <c r="D9" t="s">
        <v>237</v>
      </c>
      <c r="F9">
        <v>903</v>
      </c>
      <c r="G9" t="s">
        <v>218</v>
      </c>
      <c r="H9" t="s">
        <v>233</v>
      </c>
      <c r="I9">
        <v>1003</v>
      </c>
    </row>
    <row r="10" spans="1:10" x14ac:dyDescent="0.25">
      <c r="A10" t="s">
        <v>344</v>
      </c>
      <c r="B10" t="s">
        <v>206</v>
      </c>
      <c r="C10" t="s">
        <v>205</v>
      </c>
      <c r="D10" t="s">
        <v>237</v>
      </c>
      <c r="F10">
        <v>913</v>
      </c>
      <c r="G10" t="s">
        <v>218</v>
      </c>
      <c r="H10" t="s">
        <v>234</v>
      </c>
      <c r="I10">
        <v>10025</v>
      </c>
    </row>
    <row r="11" spans="1:10" x14ac:dyDescent="0.25">
      <c r="A11" t="s">
        <v>385</v>
      </c>
      <c r="B11" t="s">
        <v>339</v>
      </c>
      <c r="C11" t="s">
        <v>253</v>
      </c>
      <c r="D11" t="s">
        <v>237</v>
      </c>
      <c r="F11">
        <v>910</v>
      </c>
      <c r="G11" t="s">
        <v>218</v>
      </c>
      <c r="H11" t="s">
        <v>346</v>
      </c>
      <c r="I11">
        <v>10028</v>
      </c>
    </row>
    <row r="12" spans="1:10" x14ac:dyDescent="0.25">
      <c r="A12" t="s">
        <v>348</v>
      </c>
      <c r="B12" t="s">
        <v>381</v>
      </c>
      <c r="C12" t="s">
        <v>350</v>
      </c>
      <c r="D12" t="s">
        <v>237</v>
      </c>
      <c r="F12">
        <v>909</v>
      </c>
      <c r="G12" t="s">
        <v>218</v>
      </c>
      <c r="H12" t="s">
        <v>349</v>
      </c>
      <c r="I12">
        <v>10030</v>
      </c>
    </row>
    <row r="13" spans="1:10" x14ac:dyDescent="0.25">
      <c r="A13" t="s">
        <v>109</v>
      </c>
      <c r="B13" t="s">
        <v>109</v>
      </c>
      <c r="D13" t="s">
        <v>110</v>
      </c>
      <c r="H13" t="s">
        <v>111</v>
      </c>
      <c r="I13">
        <v>1011</v>
      </c>
      <c r="J13" t="s">
        <v>110</v>
      </c>
    </row>
    <row r="14" spans="1:10" x14ac:dyDescent="0.25">
      <c r="A14" t="s">
        <v>112</v>
      </c>
      <c r="B14" t="s">
        <v>113</v>
      </c>
      <c r="D14" t="s">
        <v>110</v>
      </c>
      <c r="H14" t="s">
        <v>114</v>
      </c>
      <c r="I14">
        <v>1083</v>
      </c>
      <c r="J14" t="s">
        <v>110</v>
      </c>
    </row>
    <row r="15" spans="1:10" x14ac:dyDescent="0.25">
      <c r="A15" t="s">
        <v>115</v>
      </c>
      <c r="B15" t="s">
        <v>116</v>
      </c>
      <c r="D15" t="s">
        <v>110</v>
      </c>
      <c r="H15" t="s">
        <v>117</v>
      </c>
      <c r="I15">
        <v>12073</v>
      </c>
      <c r="J15" t="s">
        <v>110</v>
      </c>
    </row>
    <row r="16" spans="1:10" x14ac:dyDescent="0.25">
      <c r="A16" t="s">
        <v>382</v>
      </c>
      <c r="B16" t="s">
        <v>51</v>
      </c>
      <c r="D16" t="s">
        <v>110</v>
      </c>
      <c r="H16" t="s">
        <v>383</v>
      </c>
      <c r="I16">
        <v>1019</v>
      </c>
      <c r="J16" t="s">
        <v>110</v>
      </c>
    </row>
    <row r="17" spans="1:10" x14ac:dyDescent="0.25">
      <c r="A17" t="s">
        <v>112</v>
      </c>
      <c r="B17" t="s">
        <v>118</v>
      </c>
      <c r="D17" t="s">
        <v>110</v>
      </c>
      <c r="H17" t="s">
        <v>114</v>
      </c>
      <c r="I17">
        <v>1083</v>
      </c>
      <c r="J17" t="s">
        <v>110</v>
      </c>
    </row>
    <row r="18" spans="1:10" x14ac:dyDescent="0.25">
      <c r="A18" t="s">
        <v>384</v>
      </c>
      <c r="B18" t="s">
        <v>119</v>
      </c>
      <c r="D18" t="s">
        <v>110</v>
      </c>
      <c r="H18" t="s">
        <v>120</v>
      </c>
      <c r="I18">
        <v>1020</v>
      </c>
      <c r="J18" t="s">
        <v>110</v>
      </c>
    </row>
    <row r="19" spans="1:10" x14ac:dyDescent="0.25">
      <c r="A19" t="s">
        <v>207</v>
      </c>
      <c r="B19" t="s">
        <v>338</v>
      </c>
      <c r="D19" t="s">
        <v>110</v>
      </c>
      <c r="H19" t="s">
        <v>230</v>
      </c>
      <c r="I19">
        <v>1000</v>
      </c>
      <c r="J19" t="s">
        <v>110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6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6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VAMONOS TRANSPORTATION LLC</v>
      </c>
    </row>
    <row r="8" spans="1:10" x14ac:dyDescent="0.25">
      <c r="A8" t="str">
        <v>ANGELES TRANSPORTATION, LLC</v>
      </c>
    </row>
    <row r="9" spans="1:10" x14ac:dyDescent="0.25">
      <c r="A9" t="str">
        <v>SANVIN VOYAGE LLC</v>
      </c>
      <c r="G9" s="69"/>
      <c r="H9" s="23"/>
      <c r="I9" s="10"/>
      <c r="J9" s="172"/>
    </row>
    <row r="10" spans="1:10" x14ac:dyDescent="0.25">
      <c r="A10" t="str">
        <v>SAFE DESTINATION TRANSPORTATION LLC</v>
      </c>
      <c r="G10" s="69"/>
      <c r="H10" s="28"/>
      <c r="I10" s="29"/>
      <c r="J10" s="172"/>
    </row>
    <row r="11" spans="1:10" x14ac:dyDescent="0.25">
      <c r="A11" t="str">
        <v>DEAUNDREY WRIGHT</v>
      </c>
      <c r="G11" s="69"/>
      <c r="H11" s="28"/>
      <c r="I11" s="29"/>
      <c r="J11" s="172"/>
    </row>
    <row r="12" spans="1:10" x14ac:dyDescent="0.25">
      <c r="A12" t="str">
        <v>JAMAAL PERRY</v>
      </c>
      <c r="G12" s="69"/>
      <c r="H12" s="28"/>
      <c r="I12" s="29"/>
      <c r="J12" s="172"/>
    </row>
    <row r="13" spans="1:10" x14ac:dyDescent="0.25">
      <c r="A13" t="str">
        <v>BAMS TRANSIT</v>
      </c>
      <c r="G13" s="69"/>
      <c r="H13" s="28"/>
      <c r="I13" s="29"/>
      <c r="J13" s="172"/>
    </row>
    <row r="14" spans="1:10" x14ac:dyDescent="0.25">
      <c r="A14" t="str">
        <v>RIDEPASS, LLC</v>
      </c>
    </row>
    <row r="15" spans="1:10" x14ac:dyDescent="0.25">
      <c r="A15" t="str">
        <v>CARR TRANSIT LLC</v>
      </c>
    </row>
    <row r="16" spans="1:10" x14ac:dyDescent="0.25">
      <c r="A16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6.42578125" bestFit="1" customWidth="1"/>
    <col min="3" max="3" width="11.42578125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0" t="s">
        <v>238</v>
      </c>
      <c r="B1" s="90"/>
      <c r="C1" s="90"/>
      <c r="I1" s="217" t="s">
        <v>239</v>
      </c>
      <c r="J1" s="217"/>
      <c r="N1" s="218" t="s">
        <v>240</v>
      </c>
      <c r="O1" s="218"/>
      <c r="P1" s="218"/>
      <c r="Q1" s="218"/>
      <c r="R1" s="218"/>
      <c r="W1" s="219" t="s">
        <v>241</v>
      </c>
      <c r="X1" s="219"/>
      <c r="Y1" s="219"/>
      <c r="Z1" s="219"/>
      <c r="AA1" s="219"/>
      <c r="AB1" s="219"/>
      <c r="AE1" s="178" t="s">
        <v>242</v>
      </c>
    </row>
    <row r="2" spans="1:32" x14ac:dyDescent="0.25">
      <c r="A2" s="216"/>
      <c r="B2" s="216"/>
      <c r="C2" s="216"/>
      <c r="W2" t="s">
        <v>243</v>
      </c>
      <c r="AA2" t="s">
        <v>244</v>
      </c>
    </row>
    <row r="3" spans="1:32" x14ac:dyDescent="0.25">
      <c r="A3" s="91" t="s">
        <v>245</v>
      </c>
      <c r="B3" s="89" t="s">
        <v>102</v>
      </c>
      <c r="C3" t="s">
        <v>246</v>
      </c>
      <c r="I3" s="89" t="s">
        <v>102</v>
      </c>
      <c r="J3" s="89" t="s">
        <v>89</v>
      </c>
      <c r="N3" s="89" t="s">
        <v>247</v>
      </c>
      <c r="R3" s="89" t="s">
        <v>190</v>
      </c>
      <c r="S3" s="89" t="s">
        <v>189</v>
      </c>
    </row>
    <row r="4" spans="1:32" x14ac:dyDescent="0.25">
      <c r="A4" s="61" t="s">
        <v>191</v>
      </c>
      <c r="B4" t="s">
        <v>112</v>
      </c>
      <c r="C4">
        <v>126</v>
      </c>
      <c r="E4">
        <v>21.5</v>
      </c>
      <c r="F4">
        <f>C4*E4</f>
        <v>2709</v>
      </c>
      <c r="I4" t="s">
        <v>112</v>
      </c>
      <c r="J4">
        <v>21.5</v>
      </c>
      <c r="N4" s="173" t="s">
        <v>248</v>
      </c>
      <c r="R4" t="s">
        <v>250</v>
      </c>
      <c r="S4" t="s">
        <v>340</v>
      </c>
      <c r="W4" s="89" t="s">
        <v>247</v>
      </c>
      <c r="X4" t="s">
        <v>249</v>
      </c>
      <c r="AA4" s="89" t="s">
        <v>247</v>
      </c>
      <c r="AB4" t="s">
        <v>249</v>
      </c>
      <c r="AE4" s="89" t="s">
        <v>102</v>
      </c>
      <c r="AF4" t="s">
        <v>250</v>
      </c>
    </row>
    <row r="5" spans="1:32" x14ac:dyDescent="0.25">
      <c r="A5" s="61" t="s">
        <v>196</v>
      </c>
      <c r="B5" t="s">
        <v>198</v>
      </c>
      <c r="C5">
        <v>115</v>
      </c>
      <c r="E5">
        <v>21.5</v>
      </c>
      <c r="F5">
        <f t="shared" ref="F5:F16" si="0">C5*E5</f>
        <v>2472.5</v>
      </c>
      <c r="I5" t="s">
        <v>210</v>
      </c>
      <c r="J5">
        <v>21.5</v>
      </c>
      <c r="W5" s="189">
        <v>45642</v>
      </c>
      <c r="X5">
        <v>16.8</v>
      </c>
      <c r="AA5" s="173" t="s">
        <v>370</v>
      </c>
      <c r="AB5">
        <v>212.79999999999998</v>
      </c>
    </row>
    <row r="6" spans="1:32" x14ac:dyDescent="0.25">
      <c r="A6" s="61" t="s">
        <v>211</v>
      </c>
      <c r="B6" t="s">
        <v>213</v>
      </c>
      <c r="C6">
        <v>98</v>
      </c>
      <c r="E6">
        <v>21.5</v>
      </c>
      <c r="F6">
        <f t="shared" si="0"/>
        <v>2107</v>
      </c>
      <c r="I6" t="s">
        <v>201</v>
      </c>
      <c r="J6">
        <v>21.5</v>
      </c>
      <c r="W6" s="189">
        <v>45643</v>
      </c>
      <c r="X6">
        <v>25.199999999999996</v>
      </c>
      <c r="AA6" s="191" t="s">
        <v>371</v>
      </c>
      <c r="AB6">
        <v>16.799999999999997</v>
      </c>
      <c r="AE6" s="89" t="s">
        <v>247</v>
      </c>
      <c r="AF6" t="s">
        <v>251</v>
      </c>
    </row>
    <row r="7" spans="1:32" x14ac:dyDescent="0.25">
      <c r="A7" s="61" t="s">
        <v>208</v>
      </c>
      <c r="B7" t="s">
        <v>210</v>
      </c>
      <c r="C7">
        <v>118</v>
      </c>
      <c r="E7">
        <v>21.5</v>
      </c>
      <c r="F7">
        <f t="shared" si="0"/>
        <v>2537</v>
      </c>
      <c r="I7" t="s">
        <v>198</v>
      </c>
      <c r="J7">
        <v>21.5</v>
      </c>
      <c r="W7" s="189">
        <v>45644</v>
      </c>
      <c r="X7">
        <v>30.799999999999997</v>
      </c>
      <c r="AA7" s="192">
        <v>45642</v>
      </c>
      <c r="AB7">
        <v>16.799999999999997</v>
      </c>
      <c r="AE7" s="173" t="s">
        <v>116</v>
      </c>
      <c r="AF7">
        <v>122.83</v>
      </c>
    </row>
    <row r="8" spans="1:32" x14ac:dyDescent="0.25">
      <c r="A8" s="61" t="s">
        <v>199</v>
      </c>
      <c r="B8" t="s">
        <v>201</v>
      </c>
      <c r="C8">
        <v>0</v>
      </c>
      <c r="E8">
        <v>21.5</v>
      </c>
      <c r="F8">
        <f>C8*E8</f>
        <v>0</v>
      </c>
      <c r="I8" t="s">
        <v>213</v>
      </c>
      <c r="J8">
        <v>21.5</v>
      </c>
      <c r="W8" s="189">
        <v>45645</v>
      </c>
      <c r="X8">
        <v>39.199999999999996</v>
      </c>
      <c r="AA8" s="191" t="s">
        <v>372</v>
      </c>
      <c r="AB8">
        <v>19.600000000000001</v>
      </c>
      <c r="AE8" s="173" t="s">
        <v>51</v>
      </c>
      <c r="AF8">
        <v>105</v>
      </c>
    </row>
    <row r="9" spans="1:32" x14ac:dyDescent="0.25">
      <c r="A9" s="61" t="s">
        <v>252</v>
      </c>
      <c r="B9" t="s">
        <v>386</v>
      </c>
      <c r="C9">
        <v>120</v>
      </c>
      <c r="E9">
        <v>21.5</v>
      </c>
      <c r="F9">
        <f t="shared" si="0"/>
        <v>2580</v>
      </c>
      <c r="I9" t="s">
        <v>204</v>
      </c>
      <c r="J9">
        <v>21.5</v>
      </c>
      <c r="W9" s="189">
        <v>45646</v>
      </c>
      <c r="X9">
        <v>39.199999999999996</v>
      </c>
      <c r="AA9" s="192">
        <v>45643</v>
      </c>
      <c r="AB9">
        <v>19.600000000000001</v>
      </c>
      <c r="AE9" s="173" t="s">
        <v>367</v>
      </c>
      <c r="AF9">
        <v>97.09</v>
      </c>
    </row>
    <row r="10" spans="1:32" x14ac:dyDescent="0.25">
      <c r="A10" s="61" t="s">
        <v>368</v>
      </c>
      <c r="B10" s="90" t="s">
        <v>250</v>
      </c>
      <c r="C10">
        <v>0</v>
      </c>
      <c r="E10">
        <v>21.5</v>
      </c>
      <c r="F10">
        <f t="shared" si="0"/>
        <v>0</v>
      </c>
      <c r="G10" s="92"/>
      <c r="I10" t="s">
        <v>195</v>
      </c>
      <c r="J10">
        <v>21.5</v>
      </c>
      <c r="W10" s="189">
        <v>45649</v>
      </c>
      <c r="X10">
        <v>25.2</v>
      </c>
      <c r="AA10" s="191" t="s">
        <v>373</v>
      </c>
      <c r="AB10">
        <v>25.2</v>
      </c>
      <c r="AE10" s="173" t="s">
        <v>338</v>
      </c>
      <c r="AF10">
        <v>27.14</v>
      </c>
    </row>
    <row r="11" spans="1:32" x14ac:dyDescent="0.25">
      <c r="A11" s="61" t="s">
        <v>193</v>
      </c>
      <c r="B11" t="s">
        <v>195</v>
      </c>
      <c r="C11">
        <v>16</v>
      </c>
      <c r="E11">
        <v>21.5</v>
      </c>
      <c r="F11">
        <f t="shared" si="0"/>
        <v>344</v>
      </c>
      <c r="I11" t="s">
        <v>344</v>
      </c>
      <c r="J11">
        <v>21.5</v>
      </c>
      <c r="W11" s="189">
        <v>45650</v>
      </c>
      <c r="X11">
        <v>28</v>
      </c>
      <c r="AA11" s="192">
        <v>45644</v>
      </c>
      <c r="AB11">
        <v>25.2</v>
      </c>
      <c r="AE11" s="173" t="s">
        <v>248</v>
      </c>
      <c r="AF11">
        <v>352.05999999999995</v>
      </c>
    </row>
    <row r="12" spans="1:32" x14ac:dyDescent="0.25">
      <c r="A12" s="61" t="s">
        <v>350</v>
      </c>
      <c r="B12" t="s">
        <v>348</v>
      </c>
      <c r="C12">
        <v>91</v>
      </c>
      <c r="E12">
        <v>21.5</v>
      </c>
      <c r="F12">
        <f t="shared" si="0"/>
        <v>1956.5</v>
      </c>
      <c r="I12" t="s">
        <v>348</v>
      </c>
      <c r="J12">
        <v>21.5</v>
      </c>
      <c r="W12" s="189">
        <v>45652</v>
      </c>
      <c r="X12">
        <v>19.600000000000001</v>
      </c>
      <c r="AA12" s="191" t="s">
        <v>374</v>
      </c>
      <c r="AB12">
        <v>25.200000000000003</v>
      </c>
    </row>
    <row r="13" spans="1:32" x14ac:dyDescent="0.25">
      <c r="A13" s="61" t="s">
        <v>253</v>
      </c>
      <c r="B13" t="s">
        <v>385</v>
      </c>
      <c r="C13">
        <v>114</v>
      </c>
      <c r="E13">
        <v>21.5</v>
      </c>
      <c r="F13">
        <f t="shared" si="0"/>
        <v>2451</v>
      </c>
      <c r="I13" t="s">
        <v>385</v>
      </c>
      <c r="J13">
        <v>21.5</v>
      </c>
      <c r="W13" s="189">
        <v>45653</v>
      </c>
      <c r="X13">
        <v>19.599999999999998</v>
      </c>
      <c r="AA13" s="192">
        <v>45645</v>
      </c>
      <c r="AB13">
        <v>25.200000000000003</v>
      </c>
    </row>
    <row r="14" spans="1:32" x14ac:dyDescent="0.25">
      <c r="A14" s="61" t="s">
        <v>202</v>
      </c>
      <c r="B14" t="s">
        <v>204</v>
      </c>
      <c r="C14">
        <v>118</v>
      </c>
      <c r="E14">
        <v>21.5</v>
      </c>
      <c r="F14">
        <f t="shared" si="0"/>
        <v>2537</v>
      </c>
      <c r="I14" t="s">
        <v>386</v>
      </c>
      <c r="J14">
        <v>21.5</v>
      </c>
      <c r="W14" s="189">
        <v>45654</v>
      </c>
      <c r="X14">
        <v>2.8</v>
      </c>
      <c r="AA14" s="191" t="s">
        <v>375</v>
      </c>
      <c r="AB14">
        <v>39.199999999999996</v>
      </c>
    </row>
    <row r="15" spans="1:32" x14ac:dyDescent="0.25">
      <c r="A15" s="61" t="s">
        <v>369</v>
      </c>
      <c r="B15" s="90" t="s">
        <v>250</v>
      </c>
      <c r="C15">
        <v>0</v>
      </c>
      <c r="E15">
        <v>21.5</v>
      </c>
      <c r="F15">
        <f t="shared" si="0"/>
        <v>0</v>
      </c>
      <c r="W15" s="189" t="s">
        <v>248</v>
      </c>
      <c r="X15">
        <v>246.39999999999998</v>
      </c>
      <c r="AA15" s="192">
        <v>45646</v>
      </c>
      <c r="AB15">
        <v>39.199999999999996</v>
      </c>
    </row>
    <row r="16" spans="1:32" x14ac:dyDescent="0.25">
      <c r="A16" s="61" t="s">
        <v>205</v>
      </c>
      <c r="B16" t="s">
        <v>344</v>
      </c>
      <c r="C16">
        <v>98</v>
      </c>
      <c r="E16">
        <v>21.5</v>
      </c>
      <c r="F16">
        <f t="shared" si="0"/>
        <v>2107</v>
      </c>
      <c r="AA16" s="191" t="s">
        <v>376</v>
      </c>
      <c r="AB16">
        <v>25.2</v>
      </c>
    </row>
    <row r="17" spans="1:28" x14ac:dyDescent="0.25">
      <c r="A17" s="61" t="s">
        <v>248</v>
      </c>
      <c r="B17" s="61"/>
      <c r="C17">
        <v>1014</v>
      </c>
      <c r="E17">
        <v>21.5</v>
      </c>
      <c r="F17">
        <f>C17*E17</f>
        <v>21801</v>
      </c>
      <c r="AA17" s="192">
        <v>45649</v>
      </c>
      <c r="AB17">
        <v>25.2</v>
      </c>
    </row>
    <row r="18" spans="1:28" x14ac:dyDescent="0.25">
      <c r="A18"/>
      <c r="AA18" s="191" t="s">
        <v>377</v>
      </c>
      <c r="AB18">
        <v>28.000000000000004</v>
      </c>
    </row>
    <row r="19" spans="1:28" x14ac:dyDescent="0.25">
      <c r="A19"/>
      <c r="F19" s="108">
        <f>SUM(F4:F18)</f>
        <v>43602</v>
      </c>
      <c r="AA19" s="192">
        <v>45650</v>
      </c>
      <c r="AB19">
        <v>28.000000000000004</v>
      </c>
    </row>
    <row r="20" spans="1:28" x14ac:dyDescent="0.25">
      <c r="A20"/>
      <c r="AA20" s="191" t="s">
        <v>378</v>
      </c>
      <c r="AB20">
        <v>19.600000000000001</v>
      </c>
    </row>
    <row r="21" spans="1:28" x14ac:dyDescent="0.25">
      <c r="A21"/>
      <c r="AA21" s="192">
        <v>45652</v>
      </c>
      <c r="AB21">
        <v>19.600000000000001</v>
      </c>
    </row>
    <row r="22" spans="1:28" x14ac:dyDescent="0.25">
      <c r="A22"/>
      <c r="AA22" s="191" t="s">
        <v>379</v>
      </c>
      <c r="AB22">
        <v>14</v>
      </c>
    </row>
    <row r="23" spans="1:28" x14ac:dyDescent="0.25">
      <c r="A23"/>
      <c r="AA23" s="192">
        <v>45653</v>
      </c>
      <c r="AB23">
        <v>14</v>
      </c>
    </row>
    <row r="24" spans="1:28" x14ac:dyDescent="0.25">
      <c r="A24"/>
      <c r="AA24" s="191" t="s">
        <v>380</v>
      </c>
      <c r="AB24">
        <v>0</v>
      </c>
    </row>
    <row r="25" spans="1:28" x14ac:dyDescent="0.25">
      <c r="A25"/>
      <c r="AA25" s="192">
        <v>45654</v>
      </c>
      <c r="AB25">
        <v>0</v>
      </c>
    </row>
    <row r="26" spans="1:28" x14ac:dyDescent="0.25">
      <c r="A26"/>
      <c r="AA26" s="173" t="s">
        <v>248</v>
      </c>
      <c r="AB26">
        <v>212.79999999999998</v>
      </c>
    </row>
    <row r="27" spans="1:28" x14ac:dyDescent="0.25">
      <c r="A27"/>
    </row>
    <row r="28" spans="1:28" x14ac:dyDescent="0.25">
      <c r="A28"/>
    </row>
    <row r="29" spans="1:28" x14ac:dyDescent="0.25">
      <c r="A29"/>
    </row>
    <row r="30" spans="1:28" x14ac:dyDescent="0.25">
      <c r="A30"/>
    </row>
    <row r="31" spans="1:28" x14ac:dyDescent="0.25">
      <c r="A31"/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G121"/>
  <sheetViews>
    <sheetView showGridLines="0" workbookViewId="0">
      <selection activeCell="A4" sqref="A4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6.42578125" style="75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0.5703125" style="64" bestFit="1" customWidth="1"/>
    <col min="16" max="16" width="13.28515625" customWidth="1"/>
    <col min="17" max="17" width="14.42578125" customWidth="1"/>
    <col min="18" max="18" width="14" style="161" customWidth="1"/>
    <col min="19" max="19" width="14.140625" style="133" customWidth="1"/>
    <col min="20" max="20" width="15.140625" style="133" customWidth="1"/>
    <col min="21" max="21" width="12.28515625" style="4" customWidth="1"/>
    <col min="22" max="23" width="10.7109375" style="4" customWidth="1"/>
    <col min="24" max="24" width="12.28515625" style="162" customWidth="1"/>
    <col min="25" max="25" width="16.28515625" style="162" customWidth="1"/>
    <col min="26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5"/>
      <c r="P1" s="136"/>
      <c r="Q1" s="136"/>
      <c r="R1" s="136"/>
      <c r="S1" s="136"/>
      <c r="T1" s="137"/>
      <c r="U1" s="196" t="s">
        <v>49</v>
      </c>
      <c r="V1" s="197"/>
      <c r="W1" s="198"/>
      <c r="X1" s="199" t="s">
        <v>50</v>
      </c>
      <c r="Y1" s="200"/>
      <c r="Z1" s="200"/>
      <c r="AA1" s="201"/>
      <c r="AB1" s="138"/>
      <c r="AC1" s="138"/>
      <c r="AD1" s="138"/>
      <c r="AE1" s="138"/>
      <c r="AF1" s="138"/>
      <c r="AG1" s="138"/>
    </row>
    <row r="2" spans="1:33" ht="30.75" thickBot="1" x14ac:dyDescent="0.35">
      <c r="A2" s="208" t="s">
        <v>115</v>
      </c>
      <c r="B2" s="209"/>
      <c r="C2" s="209"/>
      <c r="D2" s="107" t="s">
        <v>52</v>
      </c>
      <c r="E2" s="106">
        <v>0</v>
      </c>
      <c r="G2" s="94" t="s">
        <v>53</v>
      </c>
      <c r="H2" s="96">
        <v>0</v>
      </c>
      <c r="J2" s="6" t="s">
        <v>30</v>
      </c>
      <c r="K2" s="104">
        <v>0</v>
      </c>
      <c r="O2" s="139" t="s">
        <v>54</v>
      </c>
      <c r="P2" s="140" t="s">
        <v>55</v>
      </c>
      <c r="Q2" s="141" t="s">
        <v>56</v>
      </c>
      <c r="R2" s="141" t="s">
        <v>57</v>
      </c>
      <c r="S2" s="142" t="s">
        <v>58</v>
      </c>
      <c r="T2" s="142" t="s">
        <v>59</v>
      </c>
      <c r="U2" s="143" t="s">
        <v>60</v>
      </c>
      <c r="V2" s="143" t="s">
        <v>61</v>
      </c>
      <c r="W2" s="143" t="s">
        <v>62</v>
      </c>
      <c r="X2" s="143" t="s">
        <v>63</v>
      </c>
      <c r="Y2" s="140" t="s">
        <v>64</v>
      </c>
      <c r="Z2" s="140" t="s">
        <v>61</v>
      </c>
      <c r="AA2" s="143" t="s">
        <v>62</v>
      </c>
      <c r="AB2" s="143" t="s">
        <v>65</v>
      </c>
      <c r="AC2" s="143" t="s">
        <v>66</v>
      </c>
      <c r="AD2" s="143" t="s">
        <v>67</v>
      </c>
      <c r="AE2" s="143" t="s">
        <v>68</v>
      </c>
      <c r="AF2" s="143" t="s">
        <v>69</v>
      </c>
      <c r="AG2" t="s">
        <v>70</v>
      </c>
    </row>
    <row r="3" spans="1:33" x14ac:dyDescent="0.25">
      <c r="G3" s="75" t="s">
        <v>71</v>
      </c>
      <c r="H3" s="96">
        <v>0</v>
      </c>
      <c r="J3" s="6" t="s">
        <v>31</v>
      </c>
      <c r="K3" s="104">
        <v>185</v>
      </c>
      <c r="O3" s="135" t="s">
        <v>14</v>
      </c>
      <c r="P3" s="144">
        <v>48</v>
      </c>
      <c r="Q3" s="145">
        <v>49.86</v>
      </c>
      <c r="R3" s="145">
        <v>48</v>
      </c>
      <c r="S3" s="137">
        <v>1</v>
      </c>
      <c r="T3" s="146">
        <v>1014</v>
      </c>
      <c r="U3" s="138">
        <v>312</v>
      </c>
      <c r="V3" s="138">
        <v>0</v>
      </c>
      <c r="W3" s="146">
        <v>0</v>
      </c>
      <c r="X3" s="147">
        <v>1</v>
      </c>
      <c r="Y3" s="147">
        <v>0.133333333333333</v>
      </c>
      <c r="Z3" s="138">
        <v>0</v>
      </c>
      <c r="AA3" s="146">
        <v>0</v>
      </c>
      <c r="AB3" s="147">
        <v>0.15784195748094701</v>
      </c>
      <c r="AC3" s="138">
        <v>78</v>
      </c>
      <c r="AD3" s="138">
        <v>33.979999999999997</v>
      </c>
      <c r="AE3" s="138">
        <v>0</v>
      </c>
      <c r="AF3" s="138">
        <v>0</v>
      </c>
      <c r="AG3" s="138">
        <v>1437.98</v>
      </c>
    </row>
    <row r="4" spans="1:33" ht="21.75" thickBot="1" x14ac:dyDescent="0.4">
      <c r="A4" s="100" t="s">
        <v>72</v>
      </c>
      <c r="B4" s="210">
        <v>2414.12</v>
      </c>
      <c r="C4" s="211"/>
      <c r="D4" s="93" t="s">
        <v>35</v>
      </c>
      <c r="E4" s="81"/>
      <c r="G4" s="98" t="s">
        <v>29</v>
      </c>
      <c r="H4" s="97">
        <v>0</v>
      </c>
      <c r="I4" s="79"/>
      <c r="J4" s="6" t="s">
        <v>73</v>
      </c>
      <c r="K4" s="104">
        <v>0</v>
      </c>
      <c r="O4" s="135" t="s">
        <v>15</v>
      </c>
      <c r="P4" s="144">
        <v>39</v>
      </c>
      <c r="Q4" s="145">
        <v>39.090000000000003</v>
      </c>
      <c r="R4" s="145">
        <v>39</v>
      </c>
      <c r="S4" s="137">
        <v>1</v>
      </c>
      <c r="T4" s="146">
        <v>823.88</v>
      </c>
      <c r="U4" s="138">
        <v>253.5</v>
      </c>
      <c r="V4" s="138">
        <v>0</v>
      </c>
      <c r="W4" s="146">
        <v>0</v>
      </c>
      <c r="X4" s="147">
        <v>1</v>
      </c>
      <c r="Y4" s="147">
        <v>8.3333333333333301E-2</v>
      </c>
      <c r="Z4" s="138">
        <v>0</v>
      </c>
      <c r="AA4" s="146">
        <v>0</v>
      </c>
      <c r="AB4" s="138">
        <v>0.14000000000000001</v>
      </c>
      <c r="AC4" s="147">
        <v>63.375</v>
      </c>
      <c r="AD4" s="138">
        <v>20.39</v>
      </c>
      <c r="AE4" s="138">
        <v>0</v>
      </c>
      <c r="AF4" s="138">
        <v>0</v>
      </c>
      <c r="AG4" s="138">
        <v>1161.1400000000001</v>
      </c>
    </row>
    <row r="5" spans="1:33" ht="21" x14ac:dyDescent="0.35">
      <c r="A5" s="76"/>
      <c r="B5" s="77"/>
      <c r="C5" s="78"/>
      <c r="D5" s="61" t="s">
        <v>74</v>
      </c>
      <c r="E5" s="61">
        <v>0</v>
      </c>
      <c r="G5" s="93" t="s">
        <v>75</v>
      </c>
      <c r="H5" s="99">
        <v>0</v>
      </c>
      <c r="I5" s="79"/>
      <c r="J5" s="106" t="s">
        <v>32</v>
      </c>
      <c r="K5" s="104">
        <v>0</v>
      </c>
      <c r="O5" s="148" t="s">
        <v>72</v>
      </c>
      <c r="P5" s="149">
        <v>87</v>
      </c>
      <c r="Q5" s="150">
        <v>88.95</v>
      </c>
      <c r="R5" s="150">
        <v>87</v>
      </c>
      <c r="S5" s="149"/>
      <c r="T5" s="151">
        <v>1837.88</v>
      </c>
      <c r="U5" s="152">
        <v>565.5</v>
      </c>
      <c r="V5" s="152">
        <v>0</v>
      </c>
      <c r="W5" s="152">
        <v>0</v>
      </c>
      <c r="X5" s="150"/>
      <c r="Y5" s="153"/>
      <c r="Z5" s="152">
        <v>0</v>
      </c>
      <c r="AA5" s="152">
        <v>0</v>
      </c>
      <c r="AB5" s="153"/>
      <c r="AC5" s="152">
        <v>141.38</v>
      </c>
      <c r="AD5" s="152">
        <v>54.37</v>
      </c>
      <c r="AE5" s="152">
        <v>0</v>
      </c>
      <c r="AF5" s="152">
        <v>0</v>
      </c>
      <c r="AG5" s="184">
        <v>2599.12</v>
      </c>
    </row>
    <row r="6" spans="1:33" ht="21" x14ac:dyDescent="0.35">
      <c r="A6" s="76"/>
      <c r="B6" s="77"/>
      <c r="C6" s="78"/>
      <c r="D6" s="61" t="s">
        <v>76</v>
      </c>
      <c r="E6" s="61">
        <v>0</v>
      </c>
      <c r="G6" s="93"/>
      <c r="H6" s="99"/>
      <c r="I6" s="79"/>
      <c r="J6" s="95" t="s">
        <v>77</v>
      </c>
      <c r="K6" s="105">
        <v>0</v>
      </c>
      <c r="O6"/>
      <c r="R6"/>
      <c r="S6"/>
      <c r="T6"/>
      <c r="U6"/>
      <c r="V6"/>
      <c r="W6"/>
      <c r="X6"/>
      <c r="Y6"/>
    </row>
    <row r="7" spans="1:33" ht="21" x14ac:dyDescent="0.35">
      <c r="A7" s="76"/>
      <c r="B7" s="77"/>
      <c r="C7" s="78"/>
      <c r="D7" s="61" t="s">
        <v>78</v>
      </c>
      <c r="E7" s="61">
        <v>0</v>
      </c>
      <c r="G7" s="93"/>
      <c r="H7" s="99"/>
      <c r="I7" s="79"/>
      <c r="J7" s="79" t="s">
        <v>48</v>
      </c>
      <c r="K7" s="104">
        <v>185</v>
      </c>
      <c r="O7"/>
      <c r="R7"/>
      <c r="S7"/>
      <c r="T7"/>
      <c r="U7"/>
      <c r="V7"/>
      <c r="W7"/>
      <c r="X7"/>
      <c r="Y7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4" t="s">
        <v>39</v>
      </c>
      <c r="P10" s="155" t="s">
        <v>92</v>
      </c>
      <c r="Q10" s="156" t="s">
        <v>93</v>
      </c>
      <c r="R10" s="156" t="s">
        <v>94</v>
      </c>
      <c r="S10" s="157" t="s">
        <v>63</v>
      </c>
      <c r="T10" s="157" t="s">
        <v>64</v>
      </c>
      <c r="U10" s="158" t="s">
        <v>95</v>
      </c>
      <c r="V10" s="158" t="s">
        <v>96</v>
      </c>
      <c r="W10" s="159" t="s">
        <v>56</v>
      </c>
      <c r="X10" s="160" t="s">
        <v>97</v>
      </c>
      <c r="Y10" s="154" t="s">
        <v>98</v>
      </c>
      <c r="Z1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</row>
    <row r="12" spans="1:33" x14ac:dyDescent="0.25">
      <c r="A12" s="64" t="s">
        <v>254</v>
      </c>
      <c r="C12" s="88"/>
      <c r="E12" s="86"/>
      <c r="F12" s="86"/>
      <c r="G12" s="86"/>
      <c r="J12" s="4"/>
      <c r="K12" s="74"/>
      <c r="L12" s="74"/>
      <c r="O12" s="64">
        <v>45642</v>
      </c>
      <c r="P12" t="s">
        <v>354</v>
      </c>
      <c r="Q12" t="s">
        <v>355</v>
      </c>
      <c r="R12" s="161">
        <v>13</v>
      </c>
      <c r="S12" s="133">
        <v>1</v>
      </c>
      <c r="T12" s="133">
        <v>0.13333333333333333</v>
      </c>
      <c r="U12" s="4">
        <v>49.96</v>
      </c>
      <c r="V12" s="4">
        <v>0.1</v>
      </c>
      <c r="W12" s="4">
        <v>49.86</v>
      </c>
      <c r="X12" s="162">
        <v>146.93</v>
      </c>
      <c r="Y12" s="162">
        <v>33.979999999999997</v>
      </c>
      <c r="Z12">
        <v>0</v>
      </c>
    </row>
    <row r="13" spans="1:33" x14ac:dyDescent="0.25">
      <c r="C13" s="88"/>
      <c r="E13" s="86"/>
      <c r="F13" s="86"/>
      <c r="G13" s="86"/>
      <c r="J13" s="4"/>
      <c r="K13" s="74"/>
      <c r="L13" s="74"/>
      <c r="O13" s="64">
        <v>45649</v>
      </c>
      <c r="P13" t="s">
        <v>354</v>
      </c>
      <c r="Q13" t="s">
        <v>355</v>
      </c>
      <c r="R13" s="161">
        <v>8</v>
      </c>
      <c r="S13" s="133">
        <v>1</v>
      </c>
      <c r="T13" s="133">
        <v>8.3333333333333329E-2</v>
      </c>
      <c r="U13" s="4">
        <v>39.090000000000003</v>
      </c>
      <c r="V13" s="4">
        <v>0</v>
      </c>
      <c r="W13" s="4">
        <v>39.090000000000003</v>
      </c>
      <c r="X13" s="162">
        <v>108.48</v>
      </c>
      <c r="Y13" s="162">
        <v>20.39</v>
      </c>
      <c r="Z13">
        <v>0</v>
      </c>
    </row>
    <row r="14" spans="1:33" x14ac:dyDescent="0.25">
      <c r="C14" s="88"/>
      <c r="E14" s="86"/>
      <c r="F14" s="86"/>
      <c r="G14" s="86"/>
      <c r="J14" s="4"/>
      <c r="K14" s="74"/>
      <c r="L14" s="74"/>
    </row>
    <row r="15" spans="1:33" x14ac:dyDescent="0.25">
      <c r="C15" s="88"/>
      <c r="E15" s="86"/>
      <c r="F15" s="86"/>
      <c r="G15" s="86"/>
      <c r="J15" s="4"/>
      <c r="K15" s="74"/>
      <c r="L15" s="74"/>
    </row>
    <row r="16" spans="1:33" x14ac:dyDescent="0.25">
      <c r="C16" s="88"/>
      <c r="E16" s="86"/>
      <c r="F16" s="86"/>
      <c r="G16" s="86"/>
      <c r="J16" s="4"/>
      <c r="K16" s="74"/>
      <c r="L16" s="74"/>
    </row>
    <row r="17" spans="3:12" x14ac:dyDescent="0.25">
      <c r="C17" s="88"/>
      <c r="E17" s="86"/>
      <c r="F17" s="86"/>
      <c r="G17" s="86"/>
      <c r="J17" s="4"/>
      <c r="K17" s="74"/>
      <c r="L17" s="74"/>
    </row>
    <row r="18" spans="3:12" x14ac:dyDescent="0.25">
      <c r="C18" s="88"/>
      <c r="E18" s="86"/>
      <c r="F18" s="86"/>
      <c r="G18" s="86"/>
      <c r="J18" s="4"/>
      <c r="K18" s="74"/>
      <c r="L18" s="74"/>
    </row>
    <row r="19" spans="3:12" x14ac:dyDescent="0.25">
      <c r="C19" s="88"/>
      <c r="E19" s="86"/>
      <c r="F19" s="86"/>
      <c r="G19" s="86"/>
      <c r="J19" s="4"/>
      <c r="K19" s="74"/>
      <c r="L19" s="74"/>
    </row>
    <row r="20" spans="3:12" x14ac:dyDescent="0.25">
      <c r="C20" s="88"/>
      <c r="E20" s="86"/>
      <c r="F20" s="86"/>
      <c r="G20" s="86"/>
      <c r="J20" s="4"/>
      <c r="K20" s="74"/>
      <c r="L20" s="74"/>
    </row>
    <row r="21" spans="3:12" x14ac:dyDescent="0.25">
      <c r="C21" s="88"/>
      <c r="E21" s="86"/>
      <c r="F21" s="86"/>
      <c r="G21" s="86"/>
      <c r="J21" s="4"/>
      <c r="K21" s="74"/>
      <c r="L21" s="74"/>
    </row>
    <row r="22" spans="3:12" x14ac:dyDescent="0.25">
      <c r="C22" s="88"/>
      <c r="E22" s="86"/>
      <c r="F22" s="86"/>
      <c r="G22" s="86"/>
      <c r="J22" s="4"/>
      <c r="K22" s="74"/>
      <c r="L22" s="74"/>
    </row>
    <row r="23" spans="3:12" x14ac:dyDescent="0.25">
      <c r="C23" s="88"/>
      <c r="E23" s="86"/>
      <c r="F23" s="86"/>
      <c r="G23" s="86"/>
      <c r="J23" s="4"/>
      <c r="K23" s="74"/>
      <c r="L23" s="74"/>
    </row>
    <row r="24" spans="3:12" x14ac:dyDescent="0.25">
      <c r="C24" s="88"/>
      <c r="E24" s="86"/>
      <c r="F24" s="86"/>
      <c r="G24" s="86"/>
      <c r="J24" s="4"/>
      <c r="K24" s="74"/>
      <c r="L24" s="74"/>
    </row>
    <row r="25" spans="3:12" x14ac:dyDescent="0.25">
      <c r="C25" s="88"/>
      <c r="E25" s="86"/>
      <c r="F25" s="86"/>
      <c r="G25" s="86"/>
      <c r="J25" s="4"/>
      <c r="K25" s="74"/>
      <c r="L25" s="74"/>
    </row>
    <row r="26" spans="3:12" x14ac:dyDescent="0.25">
      <c r="C26" s="88"/>
      <c r="E26" s="86"/>
      <c r="F26" s="86"/>
      <c r="G26" s="86"/>
      <c r="J26" s="4"/>
      <c r="K26" s="74"/>
      <c r="L26" s="74"/>
    </row>
    <row r="27" spans="3:12" x14ac:dyDescent="0.25">
      <c r="C27" s="88"/>
      <c r="E27" s="86"/>
      <c r="F27" s="86"/>
      <c r="G27" s="86"/>
      <c r="J27" s="4"/>
      <c r="K27" s="74"/>
      <c r="L27" s="74"/>
    </row>
    <row r="28" spans="3:12" x14ac:dyDescent="0.25">
      <c r="C28" s="88"/>
      <c r="E28" s="86"/>
      <c r="F28" s="86"/>
      <c r="G28" s="86"/>
      <c r="J28" s="4"/>
      <c r="K28" s="74"/>
      <c r="L28" s="74"/>
    </row>
    <row r="29" spans="3:12" x14ac:dyDescent="0.25">
      <c r="C29" s="88"/>
      <c r="E29" s="86"/>
      <c r="F29" s="86"/>
      <c r="G29" s="86"/>
      <c r="J29" s="4"/>
      <c r="K29" s="74"/>
      <c r="L29" s="74"/>
    </row>
    <row r="30" spans="3:12" x14ac:dyDescent="0.25">
      <c r="C30" s="88"/>
      <c r="E30" s="86"/>
      <c r="F30" s="86"/>
      <c r="G30" s="86"/>
      <c r="J30" s="4"/>
      <c r="K30" s="74"/>
      <c r="L30" s="74"/>
    </row>
    <row r="31" spans="3:12" x14ac:dyDescent="0.25">
      <c r="C31" s="88"/>
      <c r="E31" s="86"/>
      <c r="F31" s="86"/>
      <c r="G31" s="86"/>
      <c r="J31" s="4"/>
      <c r="K31" s="74"/>
      <c r="L31" s="74"/>
    </row>
    <row r="32" spans="3:12" x14ac:dyDescent="0.25">
      <c r="C32" s="88"/>
      <c r="E32" s="86"/>
      <c r="F32" s="86"/>
      <c r="G32" s="86"/>
      <c r="J32" s="4"/>
      <c r="K32" s="74"/>
      <c r="L32" s="74"/>
    </row>
    <row r="33" spans="3:12" x14ac:dyDescent="0.25">
      <c r="C33" s="88"/>
      <c r="E33" s="86"/>
      <c r="F33" s="86"/>
      <c r="G33" s="86"/>
      <c r="J33" s="4"/>
      <c r="K33" s="74"/>
      <c r="L33" s="74"/>
    </row>
    <row r="34" spans="3:12" x14ac:dyDescent="0.25">
      <c r="C34" s="88"/>
      <c r="E34" s="86"/>
      <c r="F34" s="86"/>
      <c r="G34" s="86"/>
      <c r="J34" s="4"/>
      <c r="K34" s="74"/>
      <c r="L34" s="74"/>
    </row>
    <row r="35" spans="3:12" x14ac:dyDescent="0.25">
      <c r="C35" s="88"/>
      <c r="E35" s="86"/>
      <c r="F35" s="86"/>
      <c r="G35" s="86"/>
      <c r="J35" s="4"/>
      <c r="K35" s="74"/>
      <c r="L35" s="74"/>
    </row>
    <row r="36" spans="3:12" x14ac:dyDescent="0.25">
      <c r="C36" s="88"/>
      <c r="E36" s="86"/>
      <c r="F36" s="86"/>
      <c r="G36" s="86"/>
      <c r="J36" s="4"/>
      <c r="K36" s="74"/>
      <c r="L36" s="74"/>
    </row>
    <row r="37" spans="3:12" x14ac:dyDescent="0.25">
      <c r="C37" s="88"/>
      <c r="E37" s="86"/>
      <c r="F37" s="86"/>
      <c r="G37" s="86"/>
      <c r="J37" s="4"/>
      <c r="K37" s="74"/>
      <c r="L37" s="74"/>
    </row>
    <row r="38" spans="3:12" x14ac:dyDescent="0.25">
      <c r="C38" s="88"/>
      <c r="E38" s="86"/>
      <c r="F38" s="86"/>
      <c r="G38" s="86"/>
      <c r="J38" s="4"/>
      <c r="K38" s="74"/>
      <c r="L38" s="74"/>
    </row>
    <row r="39" spans="3:12" x14ac:dyDescent="0.25">
      <c r="C39" s="88"/>
      <c r="E39" s="86"/>
      <c r="F39" s="86"/>
      <c r="G39" s="86"/>
      <c r="J39" s="4"/>
      <c r="K39" s="74"/>
      <c r="L39" s="74"/>
    </row>
    <row r="40" spans="3:12" x14ac:dyDescent="0.25">
      <c r="C40" s="88"/>
      <c r="E40" s="86"/>
      <c r="F40" s="86"/>
      <c r="G40" s="86"/>
      <c r="J40" s="4"/>
      <c r="K40" s="74"/>
      <c r="L40" s="74"/>
    </row>
    <row r="41" spans="3:12" x14ac:dyDescent="0.25">
      <c r="C41" s="88"/>
      <c r="E41" s="86"/>
      <c r="F41" s="86"/>
      <c r="G41" s="86"/>
      <c r="J41" s="4"/>
      <c r="K41" s="74"/>
      <c r="L41" s="74"/>
    </row>
    <row r="42" spans="3:12" x14ac:dyDescent="0.25">
      <c r="C42" s="88"/>
      <c r="E42" s="86"/>
      <c r="F42" s="86"/>
      <c r="G42" s="86"/>
      <c r="J42" s="4"/>
      <c r="K42" s="74"/>
      <c r="L42" s="74"/>
    </row>
    <row r="43" spans="3:12" x14ac:dyDescent="0.25">
      <c r="C43" s="88"/>
      <c r="E43" s="86"/>
      <c r="F43" s="86"/>
      <c r="G43" s="86"/>
      <c r="J43" s="4"/>
      <c r="K43" s="74"/>
      <c r="L43" s="74"/>
    </row>
    <row r="44" spans="3:12" x14ac:dyDescent="0.25">
      <c r="C44" s="88"/>
      <c r="E44" s="86"/>
      <c r="F44" s="86"/>
      <c r="G44" s="86"/>
      <c r="J44" s="4"/>
      <c r="K44" s="74"/>
      <c r="L44" s="74"/>
    </row>
    <row r="45" spans="3:12" x14ac:dyDescent="0.25">
      <c r="C45" s="88"/>
      <c r="E45" s="86"/>
      <c r="F45" s="86"/>
      <c r="G45" s="86"/>
      <c r="J45" s="4"/>
      <c r="K45" s="74"/>
      <c r="L45" s="74"/>
    </row>
    <row r="46" spans="3:12" x14ac:dyDescent="0.25">
      <c r="C46" s="88"/>
      <c r="E46" s="86"/>
      <c r="F46" s="86"/>
      <c r="G46" s="86"/>
      <c r="J46" s="4"/>
      <c r="K46" s="74"/>
      <c r="L46" s="74"/>
    </row>
    <row r="47" spans="3:12" x14ac:dyDescent="0.25">
      <c r="C47" s="88"/>
      <c r="E47" s="86"/>
      <c r="F47" s="86"/>
      <c r="G47" s="86"/>
      <c r="J47" s="4"/>
      <c r="K47" s="74"/>
      <c r="L47" s="74"/>
    </row>
    <row r="48" spans="3:12" x14ac:dyDescent="0.25">
      <c r="C48" s="88"/>
      <c r="F48" s="86"/>
      <c r="G48" s="86"/>
      <c r="J48" s="4"/>
      <c r="K48" s="74"/>
      <c r="L48" s="74"/>
    </row>
    <row r="49" spans="3:12" x14ac:dyDescent="0.25">
      <c r="C49" s="88"/>
      <c r="F49" s="86"/>
      <c r="G49" s="86"/>
      <c r="J49" s="4"/>
      <c r="K49" s="74"/>
      <c r="L49" s="74"/>
    </row>
    <row r="50" spans="3:12" x14ac:dyDescent="0.25">
      <c r="C50" s="88"/>
      <c r="F50" s="86"/>
      <c r="G50" s="86"/>
      <c r="J50" s="4"/>
      <c r="K50" s="74"/>
      <c r="L50" s="74"/>
    </row>
    <row r="51" spans="3:12" x14ac:dyDescent="0.25">
      <c r="C51" s="88"/>
      <c r="F51" s="86"/>
      <c r="G51" s="86"/>
      <c r="J51" s="4"/>
      <c r="K51" s="74"/>
      <c r="L51" s="74"/>
    </row>
    <row r="52" spans="3:12" x14ac:dyDescent="0.25">
      <c r="C52" s="88"/>
      <c r="F52" s="86"/>
      <c r="G52" s="86"/>
      <c r="J52" s="4"/>
      <c r="K52" s="74"/>
      <c r="L52" s="74"/>
    </row>
    <row r="53" spans="3:12" x14ac:dyDescent="0.25">
      <c r="C53" s="88"/>
      <c r="F53" s="86"/>
      <c r="G53" s="86"/>
      <c r="J53" s="4"/>
      <c r="K53" s="74"/>
      <c r="L53" s="74"/>
    </row>
    <row r="54" spans="3:12" x14ac:dyDescent="0.25">
      <c r="C54" s="88"/>
      <c r="F54" s="86"/>
      <c r="G54" s="86"/>
      <c r="J54" s="4"/>
      <c r="K54" s="74"/>
      <c r="L54" s="74"/>
    </row>
    <row r="55" spans="3:12" x14ac:dyDescent="0.25">
      <c r="C55" s="88"/>
      <c r="F55" s="86"/>
      <c r="G55" s="86"/>
      <c r="J55" s="4"/>
      <c r="K55" s="74"/>
      <c r="L55" s="74"/>
    </row>
    <row r="56" spans="3:12" x14ac:dyDescent="0.25">
      <c r="C56" s="88"/>
      <c r="F56" s="86"/>
      <c r="G56" s="86"/>
      <c r="J56" s="4"/>
      <c r="K56" s="74"/>
      <c r="L56" s="74"/>
    </row>
    <row r="57" spans="3:12" x14ac:dyDescent="0.25">
      <c r="C57" s="88"/>
      <c r="F57" s="86"/>
      <c r="G57" s="86"/>
      <c r="J57" s="4"/>
      <c r="K57" s="74"/>
      <c r="L57" s="74"/>
    </row>
    <row r="58" spans="3:12" x14ac:dyDescent="0.25">
      <c r="C58" s="88"/>
      <c r="F58" s="86"/>
      <c r="G58" s="86"/>
      <c r="J58" s="4"/>
      <c r="K58" s="74"/>
      <c r="L58" s="74"/>
    </row>
    <row r="59" spans="3:12" x14ac:dyDescent="0.25">
      <c r="C59" s="88"/>
      <c r="F59" s="86"/>
      <c r="G59" s="86"/>
      <c r="J59" s="4"/>
      <c r="K59" s="74"/>
      <c r="L59" s="74"/>
    </row>
    <row r="60" spans="3:12" x14ac:dyDescent="0.25">
      <c r="C60" s="88"/>
      <c r="F60" s="86"/>
      <c r="G60" s="86"/>
      <c r="J60" s="4"/>
      <c r="K60" s="74"/>
      <c r="L60" s="74"/>
    </row>
    <row r="61" spans="3:12" x14ac:dyDescent="0.25">
      <c r="C61" s="88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_1"/>
  </protectedRanges>
  <mergeCells count="9">
    <mergeCell ref="U1:W1"/>
    <mergeCell ref="X1:AA1"/>
    <mergeCell ref="O9:Y9"/>
    <mergeCell ref="A9:L9"/>
    <mergeCell ref="D1:E1"/>
    <mergeCell ref="G1:H1"/>
    <mergeCell ref="J1:K1"/>
    <mergeCell ref="A2:C2"/>
    <mergeCell ref="B4:C4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1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217</v>
      </c>
      <c r="H1" t="s">
        <v>102</v>
      </c>
      <c r="I1" t="s">
        <v>255</v>
      </c>
      <c r="J1" t="s">
        <v>86</v>
      </c>
      <c r="K1" t="s">
        <v>90</v>
      </c>
      <c r="L1" t="s">
        <v>91</v>
      </c>
    </row>
    <row r="2" spans="1:12" x14ac:dyDescent="0.25">
      <c r="A2" s="64">
        <v>45642</v>
      </c>
      <c r="C2">
        <v>0</v>
      </c>
      <c r="D2" t="s">
        <v>368</v>
      </c>
      <c r="E2">
        <v>0</v>
      </c>
      <c r="F2">
        <v>0</v>
      </c>
      <c r="G2">
        <v>0</v>
      </c>
      <c r="J2">
        <v>0</v>
      </c>
      <c r="L2">
        <v>0</v>
      </c>
    </row>
    <row r="3" spans="1:12" x14ac:dyDescent="0.25">
      <c r="A3" s="64">
        <v>45642</v>
      </c>
      <c r="B3" t="s">
        <v>218</v>
      </c>
      <c r="C3">
        <v>18</v>
      </c>
      <c r="D3" t="s">
        <v>211</v>
      </c>
      <c r="E3">
        <v>0.5</v>
      </c>
      <c r="F3">
        <v>10.33</v>
      </c>
      <c r="G3">
        <v>97</v>
      </c>
      <c r="H3" t="s">
        <v>213</v>
      </c>
      <c r="I3">
        <v>21.5</v>
      </c>
      <c r="J3">
        <v>9.83</v>
      </c>
      <c r="K3">
        <v>211.345</v>
      </c>
      <c r="L3">
        <v>0</v>
      </c>
    </row>
    <row r="4" spans="1:12" x14ac:dyDescent="0.25">
      <c r="A4" s="64">
        <v>45642</v>
      </c>
      <c r="B4" t="s">
        <v>218</v>
      </c>
      <c r="C4">
        <v>0</v>
      </c>
      <c r="D4" t="s">
        <v>199</v>
      </c>
      <c r="E4">
        <v>0</v>
      </c>
      <c r="F4">
        <v>0</v>
      </c>
      <c r="G4">
        <v>0</v>
      </c>
      <c r="H4" t="s">
        <v>201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45642</v>
      </c>
      <c r="B5" t="s">
        <v>218</v>
      </c>
      <c r="C5">
        <v>10</v>
      </c>
      <c r="D5" t="s">
        <v>350</v>
      </c>
      <c r="E5">
        <v>0.5</v>
      </c>
      <c r="F5">
        <v>9.68</v>
      </c>
      <c r="G5">
        <v>75.52</v>
      </c>
      <c r="H5" t="s">
        <v>348</v>
      </c>
      <c r="I5">
        <v>21.5</v>
      </c>
      <c r="J5">
        <v>9.18</v>
      </c>
      <c r="K5">
        <v>197.37</v>
      </c>
      <c r="L5">
        <v>0</v>
      </c>
    </row>
    <row r="6" spans="1:12" x14ac:dyDescent="0.25">
      <c r="A6" s="64">
        <v>45642</v>
      </c>
      <c r="B6" t="s">
        <v>218</v>
      </c>
      <c r="C6">
        <v>13</v>
      </c>
      <c r="D6" t="s">
        <v>191</v>
      </c>
      <c r="E6">
        <v>0.5</v>
      </c>
      <c r="F6">
        <v>10.32</v>
      </c>
      <c r="G6">
        <v>113.07</v>
      </c>
      <c r="H6" t="s">
        <v>112</v>
      </c>
      <c r="I6">
        <v>21.5</v>
      </c>
      <c r="J6">
        <v>9.82</v>
      </c>
      <c r="K6">
        <v>211.13</v>
      </c>
      <c r="L6">
        <v>0</v>
      </c>
    </row>
    <row r="7" spans="1:12" x14ac:dyDescent="0.25">
      <c r="A7" s="64">
        <v>45642</v>
      </c>
      <c r="B7" t="s">
        <v>218</v>
      </c>
      <c r="C7">
        <v>15</v>
      </c>
      <c r="D7" t="s">
        <v>202</v>
      </c>
      <c r="E7">
        <v>0.5</v>
      </c>
      <c r="F7">
        <v>10.4</v>
      </c>
      <c r="G7">
        <v>140.65</v>
      </c>
      <c r="H7" t="s">
        <v>204</v>
      </c>
      <c r="I7">
        <v>21.5</v>
      </c>
      <c r="J7">
        <v>9.9</v>
      </c>
      <c r="K7">
        <v>212.85</v>
      </c>
      <c r="L7">
        <v>0</v>
      </c>
    </row>
    <row r="8" spans="1:12" x14ac:dyDescent="0.25">
      <c r="A8" s="64">
        <v>45642</v>
      </c>
      <c r="B8" t="s">
        <v>218</v>
      </c>
      <c r="C8">
        <v>15</v>
      </c>
      <c r="D8" t="s">
        <v>208</v>
      </c>
      <c r="E8">
        <v>0.5</v>
      </c>
      <c r="F8">
        <v>10.7</v>
      </c>
      <c r="G8">
        <v>149.02000000000001</v>
      </c>
      <c r="H8" t="s">
        <v>210</v>
      </c>
      <c r="I8">
        <v>21.5</v>
      </c>
      <c r="J8">
        <v>10.199999999999999</v>
      </c>
      <c r="K8">
        <v>219.3</v>
      </c>
      <c r="L8">
        <v>0</v>
      </c>
    </row>
    <row r="9" spans="1:12" x14ac:dyDescent="0.25">
      <c r="A9" s="64">
        <v>45642</v>
      </c>
      <c r="B9" t="s">
        <v>218</v>
      </c>
      <c r="C9">
        <v>15</v>
      </c>
      <c r="D9" t="s">
        <v>196</v>
      </c>
      <c r="E9">
        <v>0.5</v>
      </c>
      <c r="F9">
        <v>10.32</v>
      </c>
      <c r="G9">
        <v>95.61</v>
      </c>
      <c r="H9" t="s">
        <v>198</v>
      </c>
      <c r="I9">
        <v>21.5</v>
      </c>
      <c r="J9">
        <v>9.82</v>
      </c>
      <c r="K9">
        <v>211.13</v>
      </c>
      <c r="L9">
        <v>0</v>
      </c>
    </row>
    <row r="10" spans="1:12" x14ac:dyDescent="0.25">
      <c r="A10" s="64">
        <v>45642</v>
      </c>
      <c r="B10" t="s">
        <v>218</v>
      </c>
      <c r="C10">
        <v>13</v>
      </c>
      <c r="D10" t="s">
        <v>253</v>
      </c>
      <c r="E10">
        <v>0.5</v>
      </c>
      <c r="F10">
        <v>12.12</v>
      </c>
      <c r="G10">
        <v>111.53</v>
      </c>
      <c r="H10" t="s">
        <v>385</v>
      </c>
      <c r="I10">
        <v>21.5</v>
      </c>
      <c r="J10">
        <v>11.62</v>
      </c>
      <c r="K10">
        <v>249.83</v>
      </c>
      <c r="L10">
        <v>0</v>
      </c>
    </row>
    <row r="11" spans="1:12" x14ac:dyDescent="0.25">
      <c r="A11" s="64">
        <v>45642</v>
      </c>
      <c r="B11" t="s">
        <v>218</v>
      </c>
      <c r="C11">
        <v>11</v>
      </c>
      <c r="D11" t="s">
        <v>205</v>
      </c>
      <c r="E11">
        <v>0.5</v>
      </c>
      <c r="F11">
        <v>10.42</v>
      </c>
      <c r="G11">
        <v>134.44999999999999</v>
      </c>
      <c r="H11" t="s">
        <v>344</v>
      </c>
      <c r="I11">
        <v>21.5</v>
      </c>
      <c r="J11">
        <v>9.92</v>
      </c>
      <c r="K11">
        <v>213.28</v>
      </c>
      <c r="L11">
        <v>0</v>
      </c>
    </row>
    <row r="12" spans="1:12" x14ac:dyDescent="0.25">
      <c r="A12" s="64">
        <v>45642</v>
      </c>
      <c r="B12" t="s">
        <v>218</v>
      </c>
      <c r="C12">
        <v>10</v>
      </c>
      <c r="D12" t="s">
        <v>252</v>
      </c>
      <c r="E12">
        <v>0.5</v>
      </c>
      <c r="F12">
        <v>10.93</v>
      </c>
      <c r="G12">
        <v>114.38</v>
      </c>
      <c r="H12" t="s">
        <v>386</v>
      </c>
      <c r="I12">
        <v>21.5</v>
      </c>
      <c r="J12">
        <v>10.43</v>
      </c>
      <c r="K12">
        <v>224.245</v>
      </c>
      <c r="L12">
        <v>0</v>
      </c>
    </row>
    <row r="13" spans="1:12" x14ac:dyDescent="0.25">
      <c r="A13" s="64">
        <v>45642</v>
      </c>
      <c r="B13" t="s">
        <v>218</v>
      </c>
      <c r="C13">
        <v>12</v>
      </c>
      <c r="D13" t="s">
        <v>193</v>
      </c>
      <c r="E13">
        <v>0.5</v>
      </c>
      <c r="F13">
        <v>11.12</v>
      </c>
      <c r="G13">
        <v>103.59</v>
      </c>
      <c r="H13" t="s">
        <v>195</v>
      </c>
      <c r="I13">
        <v>21.5</v>
      </c>
      <c r="J13">
        <v>10.62</v>
      </c>
      <c r="K13">
        <v>228.33</v>
      </c>
      <c r="L13">
        <v>0</v>
      </c>
    </row>
    <row r="14" spans="1:12" x14ac:dyDescent="0.25">
      <c r="A14" s="64">
        <v>45643</v>
      </c>
      <c r="C14">
        <v>0</v>
      </c>
      <c r="D14" t="s">
        <v>369</v>
      </c>
      <c r="E14">
        <v>0</v>
      </c>
      <c r="F14">
        <v>0</v>
      </c>
      <c r="G14">
        <v>0</v>
      </c>
      <c r="J14">
        <v>0</v>
      </c>
      <c r="L14">
        <v>0</v>
      </c>
    </row>
    <row r="15" spans="1:12" x14ac:dyDescent="0.25">
      <c r="A15" s="64">
        <v>45643</v>
      </c>
      <c r="C15">
        <v>0</v>
      </c>
      <c r="D15" t="s">
        <v>368</v>
      </c>
      <c r="E15">
        <v>0</v>
      </c>
      <c r="F15">
        <v>0</v>
      </c>
      <c r="G15">
        <v>0</v>
      </c>
      <c r="J15">
        <v>0</v>
      </c>
      <c r="L15">
        <v>0</v>
      </c>
    </row>
    <row r="16" spans="1:12" x14ac:dyDescent="0.25">
      <c r="A16" s="64">
        <v>45643</v>
      </c>
      <c r="B16" t="s">
        <v>218</v>
      </c>
      <c r="C16">
        <v>14</v>
      </c>
      <c r="D16" t="s">
        <v>211</v>
      </c>
      <c r="E16">
        <v>0.5</v>
      </c>
      <c r="F16">
        <v>9.8800000000000008</v>
      </c>
      <c r="G16">
        <v>126.34</v>
      </c>
      <c r="H16" t="s">
        <v>213</v>
      </c>
      <c r="I16">
        <v>21.5</v>
      </c>
      <c r="J16">
        <v>9.3800000000000008</v>
      </c>
      <c r="K16">
        <v>201.67</v>
      </c>
      <c r="L16">
        <v>0</v>
      </c>
    </row>
    <row r="17" spans="1:12" x14ac:dyDescent="0.25">
      <c r="A17" s="64">
        <v>45643</v>
      </c>
      <c r="B17" t="s">
        <v>218</v>
      </c>
      <c r="C17">
        <v>0</v>
      </c>
      <c r="D17" t="s">
        <v>199</v>
      </c>
      <c r="E17">
        <v>0</v>
      </c>
      <c r="F17">
        <v>0</v>
      </c>
      <c r="G17">
        <v>0</v>
      </c>
      <c r="H17" t="s">
        <v>201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45643</v>
      </c>
      <c r="B18" t="s">
        <v>218</v>
      </c>
      <c r="C18">
        <v>9</v>
      </c>
      <c r="D18" t="s">
        <v>350</v>
      </c>
      <c r="E18">
        <v>0.5</v>
      </c>
      <c r="F18">
        <v>10.08</v>
      </c>
      <c r="G18">
        <v>99.39</v>
      </c>
      <c r="H18" t="s">
        <v>348</v>
      </c>
      <c r="I18">
        <v>21.5</v>
      </c>
      <c r="J18">
        <v>9.58</v>
      </c>
      <c r="K18">
        <v>205.97</v>
      </c>
      <c r="L18">
        <v>0</v>
      </c>
    </row>
    <row r="19" spans="1:12" x14ac:dyDescent="0.25">
      <c r="A19" s="64">
        <v>45643</v>
      </c>
      <c r="B19" t="s">
        <v>218</v>
      </c>
      <c r="C19">
        <v>13</v>
      </c>
      <c r="D19" t="s">
        <v>191</v>
      </c>
      <c r="E19">
        <v>0.5</v>
      </c>
      <c r="F19">
        <v>10.220000000000001</v>
      </c>
      <c r="G19">
        <v>144.03</v>
      </c>
      <c r="H19" t="s">
        <v>112</v>
      </c>
      <c r="I19">
        <v>21.5</v>
      </c>
      <c r="J19">
        <v>9.7200000000000006</v>
      </c>
      <c r="K19">
        <v>208.98</v>
      </c>
      <c r="L19">
        <v>0</v>
      </c>
    </row>
    <row r="20" spans="1:12" x14ac:dyDescent="0.25">
      <c r="A20" s="64">
        <v>45643</v>
      </c>
      <c r="B20" t="s">
        <v>218</v>
      </c>
      <c r="C20">
        <v>13</v>
      </c>
      <c r="D20" t="s">
        <v>202</v>
      </c>
      <c r="E20">
        <v>0.5</v>
      </c>
      <c r="F20">
        <v>10.42</v>
      </c>
      <c r="G20">
        <v>98.08</v>
      </c>
      <c r="H20" t="s">
        <v>204</v>
      </c>
      <c r="I20">
        <v>21.5</v>
      </c>
      <c r="J20">
        <v>9.92</v>
      </c>
      <c r="K20">
        <v>213.28</v>
      </c>
      <c r="L20">
        <v>0</v>
      </c>
    </row>
    <row r="21" spans="1:12" x14ac:dyDescent="0.25">
      <c r="A21" s="64">
        <v>45643</v>
      </c>
      <c r="B21" t="s">
        <v>218</v>
      </c>
      <c r="C21">
        <v>12</v>
      </c>
      <c r="D21" t="s">
        <v>208</v>
      </c>
      <c r="E21">
        <v>0.5</v>
      </c>
      <c r="F21">
        <v>10.45</v>
      </c>
      <c r="G21">
        <v>134.75</v>
      </c>
      <c r="H21" t="s">
        <v>210</v>
      </c>
      <c r="I21">
        <v>21.5</v>
      </c>
      <c r="J21">
        <v>9.9499999999999993</v>
      </c>
      <c r="K21">
        <v>213.92500000000001</v>
      </c>
      <c r="L21">
        <v>0</v>
      </c>
    </row>
    <row r="22" spans="1:12" x14ac:dyDescent="0.25">
      <c r="A22" s="64">
        <v>45643</v>
      </c>
      <c r="B22" t="s">
        <v>218</v>
      </c>
      <c r="C22">
        <v>14</v>
      </c>
      <c r="D22" t="s">
        <v>196</v>
      </c>
      <c r="E22">
        <v>0.5</v>
      </c>
      <c r="F22">
        <v>9.9499999999999993</v>
      </c>
      <c r="G22">
        <v>114.23</v>
      </c>
      <c r="H22" t="s">
        <v>198</v>
      </c>
      <c r="I22">
        <v>21.5</v>
      </c>
      <c r="J22">
        <v>9.4499999999999993</v>
      </c>
      <c r="K22">
        <v>203.17500000000001</v>
      </c>
      <c r="L22">
        <v>0</v>
      </c>
    </row>
    <row r="23" spans="1:12" x14ac:dyDescent="0.25">
      <c r="A23" s="64">
        <v>45643</v>
      </c>
      <c r="B23" t="s">
        <v>218</v>
      </c>
      <c r="C23">
        <v>10</v>
      </c>
      <c r="D23" t="s">
        <v>253</v>
      </c>
      <c r="E23">
        <v>0.5</v>
      </c>
      <c r="F23">
        <v>10.27</v>
      </c>
      <c r="G23">
        <v>119.91</v>
      </c>
      <c r="H23" t="s">
        <v>385</v>
      </c>
      <c r="I23">
        <v>21.5</v>
      </c>
      <c r="J23">
        <v>9.77</v>
      </c>
      <c r="K23">
        <v>210.05500000000001</v>
      </c>
      <c r="L23">
        <v>0</v>
      </c>
    </row>
    <row r="24" spans="1:12" x14ac:dyDescent="0.25">
      <c r="A24" s="64">
        <v>45643</v>
      </c>
      <c r="B24" t="s">
        <v>218</v>
      </c>
      <c r="C24">
        <v>14</v>
      </c>
      <c r="D24" t="s">
        <v>205</v>
      </c>
      <c r="E24">
        <v>0.5</v>
      </c>
      <c r="F24">
        <v>11.1</v>
      </c>
      <c r="G24">
        <v>139.94</v>
      </c>
      <c r="H24" t="s">
        <v>344</v>
      </c>
      <c r="I24">
        <v>21.5</v>
      </c>
      <c r="J24">
        <v>10.6</v>
      </c>
      <c r="K24">
        <v>227.9</v>
      </c>
      <c r="L24">
        <v>0</v>
      </c>
    </row>
    <row r="25" spans="1:12" x14ac:dyDescent="0.25">
      <c r="A25" s="64">
        <v>45643</v>
      </c>
      <c r="B25" t="s">
        <v>218</v>
      </c>
      <c r="C25">
        <v>13</v>
      </c>
      <c r="D25" t="s">
        <v>252</v>
      </c>
      <c r="E25">
        <v>0.5</v>
      </c>
      <c r="F25">
        <v>11.88</v>
      </c>
      <c r="G25">
        <v>114.94</v>
      </c>
      <c r="H25" t="s">
        <v>386</v>
      </c>
      <c r="I25">
        <v>21.5</v>
      </c>
      <c r="J25">
        <v>11.38</v>
      </c>
      <c r="K25">
        <v>244.67</v>
      </c>
      <c r="L25">
        <v>0</v>
      </c>
    </row>
    <row r="26" spans="1:12" x14ac:dyDescent="0.25">
      <c r="A26" s="64">
        <v>45643</v>
      </c>
      <c r="B26" t="s">
        <v>218</v>
      </c>
      <c r="C26">
        <v>4</v>
      </c>
      <c r="D26" t="s">
        <v>193</v>
      </c>
      <c r="E26">
        <v>0</v>
      </c>
      <c r="F26">
        <v>3.62</v>
      </c>
      <c r="G26">
        <v>36.53</v>
      </c>
      <c r="H26" t="s">
        <v>195</v>
      </c>
      <c r="I26">
        <v>21.5</v>
      </c>
      <c r="J26">
        <v>3.62</v>
      </c>
      <c r="K26">
        <v>77.83</v>
      </c>
      <c r="L26">
        <v>0</v>
      </c>
    </row>
    <row r="27" spans="1:12" x14ac:dyDescent="0.25">
      <c r="A27" s="64">
        <v>45644</v>
      </c>
      <c r="C27">
        <v>0</v>
      </c>
      <c r="D27" t="s">
        <v>369</v>
      </c>
      <c r="E27">
        <v>0</v>
      </c>
      <c r="F27">
        <v>0</v>
      </c>
      <c r="G27">
        <v>0</v>
      </c>
      <c r="J27">
        <v>0</v>
      </c>
      <c r="L27">
        <v>0</v>
      </c>
    </row>
    <row r="28" spans="1:12" x14ac:dyDescent="0.25">
      <c r="A28" s="64">
        <v>45644</v>
      </c>
      <c r="C28">
        <v>0</v>
      </c>
      <c r="D28" t="s">
        <v>368</v>
      </c>
      <c r="E28">
        <v>0</v>
      </c>
      <c r="F28">
        <v>0</v>
      </c>
      <c r="G28">
        <v>0</v>
      </c>
      <c r="J28">
        <v>0</v>
      </c>
      <c r="L28">
        <v>0</v>
      </c>
    </row>
    <row r="29" spans="1:12" x14ac:dyDescent="0.25">
      <c r="A29" s="64">
        <v>45644</v>
      </c>
      <c r="B29" t="s">
        <v>218</v>
      </c>
      <c r="C29">
        <v>13</v>
      </c>
      <c r="D29" t="s">
        <v>211</v>
      </c>
      <c r="E29">
        <v>0.5</v>
      </c>
      <c r="F29">
        <v>9.9</v>
      </c>
      <c r="G29">
        <v>109.31</v>
      </c>
      <c r="H29" t="s">
        <v>213</v>
      </c>
      <c r="I29">
        <v>21.5</v>
      </c>
      <c r="J29">
        <v>9.4</v>
      </c>
      <c r="K29">
        <v>202.1</v>
      </c>
      <c r="L29">
        <v>0</v>
      </c>
    </row>
    <row r="30" spans="1:12" x14ac:dyDescent="0.25">
      <c r="A30" s="64">
        <v>45644</v>
      </c>
      <c r="B30" t="s">
        <v>218</v>
      </c>
      <c r="C30">
        <v>0</v>
      </c>
      <c r="D30" t="s">
        <v>199</v>
      </c>
      <c r="E30">
        <v>0</v>
      </c>
      <c r="F30">
        <v>0</v>
      </c>
      <c r="G30">
        <v>0</v>
      </c>
      <c r="H30" t="s">
        <v>201</v>
      </c>
      <c r="I30">
        <v>21.5</v>
      </c>
      <c r="J30">
        <v>0</v>
      </c>
      <c r="K30">
        <v>0</v>
      </c>
      <c r="L30">
        <v>0</v>
      </c>
    </row>
    <row r="31" spans="1:12" x14ac:dyDescent="0.25">
      <c r="A31" s="64">
        <v>45644</v>
      </c>
      <c r="B31" t="s">
        <v>218</v>
      </c>
      <c r="C31">
        <v>12</v>
      </c>
      <c r="D31" t="s">
        <v>350</v>
      </c>
      <c r="E31">
        <v>0.5</v>
      </c>
      <c r="F31">
        <v>11.27</v>
      </c>
      <c r="G31">
        <v>132.69999999999999</v>
      </c>
      <c r="H31" t="s">
        <v>348</v>
      </c>
      <c r="I31">
        <v>21.5</v>
      </c>
      <c r="J31">
        <v>10.77</v>
      </c>
      <c r="K31">
        <v>231.55500000000001</v>
      </c>
      <c r="L31">
        <v>0</v>
      </c>
    </row>
    <row r="32" spans="1:12" x14ac:dyDescent="0.25">
      <c r="A32" s="64">
        <v>45644</v>
      </c>
      <c r="B32" t="s">
        <v>218</v>
      </c>
      <c r="C32">
        <v>19</v>
      </c>
      <c r="D32" t="s">
        <v>191</v>
      </c>
      <c r="E32">
        <v>0.5</v>
      </c>
      <c r="F32">
        <v>10.7</v>
      </c>
      <c r="G32">
        <v>117.98</v>
      </c>
      <c r="H32" t="s">
        <v>112</v>
      </c>
      <c r="I32">
        <v>21.5</v>
      </c>
      <c r="J32">
        <v>10.199999999999999</v>
      </c>
      <c r="K32">
        <v>219.3</v>
      </c>
      <c r="L32">
        <v>0</v>
      </c>
    </row>
    <row r="33" spans="1:12" x14ac:dyDescent="0.25">
      <c r="A33" s="64">
        <v>45644</v>
      </c>
      <c r="B33" t="s">
        <v>218</v>
      </c>
      <c r="C33">
        <v>18</v>
      </c>
      <c r="D33" t="s">
        <v>202</v>
      </c>
      <c r="E33">
        <v>0.5</v>
      </c>
      <c r="F33">
        <v>10.52</v>
      </c>
      <c r="G33">
        <v>117.21</v>
      </c>
      <c r="H33" t="s">
        <v>204</v>
      </c>
      <c r="I33">
        <v>21.5</v>
      </c>
      <c r="J33">
        <v>10.02</v>
      </c>
      <c r="K33">
        <v>215.43</v>
      </c>
      <c r="L33">
        <v>0</v>
      </c>
    </row>
    <row r="34" spans="1:12" x14ac:dyDescent="0.25">
      <c r="A34" s="64">
        <v>45644</v>
      </c>
      <c r="B34" t="s">
        <v>218</v>
      </c>
      <c r="C34">
        <v>15</v>
      </c>
      <c r="D34" t="s">
        <v>208</v>
      </c>
      <c r="E34">
        <v>0.5</v>
      </c>
      <c r="F34">
        <v>10.130000000000001</v>
      </c>
      <c r="G34">
        <v>113.29</v>
      </c>
      <c r="H34" t="s">
        <v>210</v>
      </c>
      <c r="I34">
        <v>21.5</v>
      </c>
      <c r="J34">
        <v>9.6300000000000008</v>
      </c>
      <c r="K34">
        <v>207.04499999999999</v>
      </c>
      <c r="L34">
        <v>0</v>
      </c>
    </row>
    <row r="35" spans="1:12" x14ac:dyDescent="0.25">
      <c r="A35" s="64">
        <v>45644</v>
      </c>
      <c r="B35" t="s">
        <v>218</v>
      </c>
      <c r="C35">
        <v>14</v>
      </c>
      <c r="D35" t="s">
        <v>196</v>
      </c>
      <c r="E35">
        <v>0.5</v>
      </c>
      <c r="F35">
        <v>11.87</v>
      </c>
      <c r="G35">
        <v>112.97</v>
      </c>
      <c r="H35" t="s">
        <v>198</v>
      </c>
      <c r="I35">
        <v>21.5</v>
      </c>
      <c r="J35">
        <v>11.37</v>
      </c>
      <c r="K35">
        <v>244.45500000000001</v>
      </c>
      <c r="L35">
        <v>0</v>
      </c>
    </row>
    <row r="36" spans="1:12" x14ac:dyDescent="0.25">
      <c r="A36" s="64">
        <v>45644</v>
      </c>
      <c r="B36" t="s">
        <v>218</v>
      </c>
      <c r="C36">
        <v>16</v>
      </c>
      <c r="D36" t="s">
        <v>253</v>
      </c>
      <c r="E36">
        <v>0.5</v>
      </c>
      <c r="F36">
        <v>10.6</v>
      </c>
      <c r="G36">
        <v>142.97999999999999</v>
      </c>
      <c r="H36" t="s">
        <v>385</v>
      </c>
      <c r="I36">
        <v>21.5</v>
      </c>
      <c r="J36">
        <v>10.1</v>
      </c>
      <c r="K36">
        <v>217.15</v>
      </c>
      <c r="L36">
        <v>0</v>
      </c>
    </row>
    <row r="37" spans="1:12" x14ac:dyDescent="0.25">
      <c r="A37" s="64">
        <v>45644</v>
      </c>
      <c r="B37" t="s">
        <v>218</v>
      </c>
      <c r="C37">
        <v>12</v>
      </c>
      <c r="D37" t="s">
        <v>205</v>
      </c>
      <c r="E37">
        <v>0.5</v>
      </c>
      <c r="F37">
        <v>10.45</v>
      </c>
      <c r="G37">
        <v>96.42</v>
      </c>
      <c r="H37" t="s">
        <v>344</v>
      </c>
      <c r="I37">
        <v>21.5</v>
      </c>
      <c r="J37">
        <v>9.9499999999999993</v>
      </c>
      <c r="K37">
        <v>213.92500000000001</v>
      </c>
      <c r="L37">
        <v>0</v>
      </c>
    </row>
    <row r="38" spans="1:12" x14ac:dyDescent="0.25">
      <c r="A38" s="64">
        <v>45644</v>
      </c>
      <c r="B38" t="s">
        <v>218</v>
      </c>
      <c r="C38">
        <v>14</v>
      </c>
      <c r="D38" t="s">
        <v>252</v>
      </c>
      <c r="E38">
        <v>0.43</v>
      </c>
      <c r="F38">
        <v>11.05</v>
      </c>
      <c r="G38">
        <v>131.13</v>
      </c>
      <c r="H38" t="s">
        <v>386</v>
      </c>
      <c r="I38">
        <v>21.5</v>
      </c>
      <c r="J38">
        <v>10.620000000000001</v>
      </c>
      <c r="K38">
        <v>228.33</v>
      </c>
      <c r="L38">
        <v>0</v>
      </c>
    </row>
    <row r="39" spans="1:12" x14ac:dyDescent="0.25">
      <c r="A39" s="64">
        <v>45644</v>
      </c>
      <c r="B39" t="s">
        <v>218</v>
      </c>
      <c r="C39">
        <v>0</v>
      </c>
      <c r="D39" t="s">
        <v>193</v>
      </c>
      <c r="E39">
        <v>0</v>
      </c>
      <c r="F39">
        <v>0</v>
      </c>
      <c r="G39">
        <v>0</v>
      </c>
      <c r="H39" t="s">
        <v>195</v>
      </c>
      <c r="I39">
        <v>21.5</v>
      </c>
      <c r="J39">
        <v>0</v>
      </c>
      <c r="K39">
        <v>0</v>
      </c>
      <c r="L39">
        <v>0</v>
      </c>
    </row>
    <row r="40" spans="1:12" x14ac:dyDescent="0.25">
      <c r="A40" s="64">
        <v>45645</v>
      </c>
      <c r="C40">
        <v>0</v>
      </c>
      <c r="D40" t="s">
        <v>369</v>
      </c>
      <c r="E40">
        <v>0</v>
      </c>
      <c r="F40">
        <v>0</v>
      </c>
      <c r="G40">
        <v>0</v>
      </c>
      <c r="J40">
        <v>0</v>
      </c>
      <c r="L40">
        <v>0</v>
      </c>
    </row>
    <row r="41" spans="1:12" x14ac:dyDescent="0.25">
      <c r="A41" s="64">
        <v>45645</v>
      </c>
      <c r="C41">
        <v>0</v>
      </c>
      <c r="D41" t="s">
        <v>368</v>
      </c>
      <c r="E41">
        <v>0</v>
      </c>
      <c r="F41">
        <v>0</v>
      </c>
      <c r="G41">
        <v>0</v>
      </c>
      <c r="J41">
        <v>0</v>
      </c>
      <c r="L41">
        <v>0</v>
      </c>
    </row>
    <row r="42" spans="1:12" x14ac:dyDescent="0.25">
      <c r="A42" s="64">
        <v>45645</v>
      </c>
      <c r="B42" t="s">
        <v>218</v>
      </c>
      <c r="C42">
        <v>12</v>
      </c>
      <c r="D42" t="s">
        <v>211</v>
      </c>
      <c r="E42">
        <v>0.5</v>
      </c>
      <c r="F42">
        <v>10.32</v>
      </c>
      <c r="G42">
        <v>125.36</v>
      </c>
      <c r="H42" t="s">
        <v>213</v>
      </c>
      <c r="I42">
        <v>21.5</v>
      </c>
      <c r="J42">
        <v>9.82</v>
      </c>
      <c r="K42">
        <v>211.13</v>
      </c>
      <c r="L42">
        <v>0</v>
      </c>
    </row>
    <row r="43" spans="1:12" x14ac:dyDescent="0.25">
      <c r="A43" s="64">
        <v>45645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 t="s">
        <v>201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45645</v>
      </c>
      <c r="B44" t="s">
        <v>218</v>
      </c>
      <c r="C44">
        <v>14</v>
      </c>
      <c r="D44" t="s">
        <v>350</v>
      </c>
      <c r="E44">
        <v>0.5</v>
      </c>
      <c r="F44">
        <v>11.62</v>
      </c>
      <c r="G44">
        <v>125.22</v>
      </c>
      <c r="H44" t="s">
        <v>348</v>
      </c>
      <c r="I44">
        <v>21.5</v>
      </c>
      <c r="J44">
        <v>11.12</v>
      </c>
      <c r="K44">
        <v>239.08</v>
      </c>
      <c r="L44">
        <v>0</v>
      </c>
    </row>
    <row r="45" spans="1:12" x14ac:dyDescent="0.25">
      <c r="A45" s="64">
        <v>45645</v>
      </c>
      <c r="B45" t="s">
        <v>218</v>
      </c>
      <c r="C45">
        <v>15</v>
      </c>
      <c r="D45" t="s">
        <v>191</v>
      </c>
      <c r="E45">
        <v>0.5</v>
      </c>
      <c r="F45">
        <v>9.48</v>
      </c>
      <c r="G45">
        <v>121.57</v>
      </c>
      <c r="H45" t="s">
        <v>112</v>
      </c>
      <c r="I45">
        <v>21.5</v>
      </c>
      <c r="J45">
        <v>8.98</v>
      </c>
      <c r="K45">
        <v>193.07</v>
      </c>
      <c r="L45">
        <v>0</v>
      </c>
    </row>
    <row r="46" spans="1:12" x14ac:dyDescent="0.25">
      <c r="A46" s="64">
        <v>45645</v>
      </c>
      <c r="B46" t="s">
        <v>218</v>
      </c>
      <c r="C46">
        <v>16</v>
      </c>
      <c r="D46" t="s">
        <v>202</v>
      </c>
      <c r="E46">
        <v>0.5</v>
      </c>
      <c r="F46">
        <v>10.45</v>
      </c>
      <c r="G46">
        <v>132.08000000000001</v>
      </c>
      <c r="H46" t="s">
        <v>204</v>
      </c>
      <c r="I46">
        <v>21.5</v>
      </c>
      <c r="J46">
        <v>9.9499999999999993</v>
      </c>
      <c r="K46">
        <v>213.92500000000001</v>
      </c>
      <c r="L46">
        <v>0</v>
      </c>
    </row>
    <row r="47" spans="1:12" x14ac:dyDescent="0.25">
      <c r="A47" s="64">
        <v>45645</v>
      </c>
      <c r="B47" t="s">
        <v>218</v>
      </c>
      <c r="C47">
        <v>9</v>
      </c>
      <c r="D47" t="s">
        <v>208</v>
      </c>
      <c r="E47">
        <v>0.5</v>
      </c>
      <c r="F47">
        <v>10.42</v>
      </c>
      <c r="G47">
        <v>136.93</v>
      </c>
      <c r="H47" t="s">
        <v>210</v>
      </c>
      <c r="I47">
        <v>21.5</v>
      </c>
      <c r="J47">
        <v>9.92</v>
      </c>
      <c r="K47">
        <v>213.28</v>
      </c>
      <c r="L47">
        <v>0</v>
      </c>
    </row>
    <row r="48" spans="1:12" x14ac:dyDescent="0.25">
      <c r="A48" s="64">
        <v>45645</v>
      </c>
      <c r="B48" t="s">
        <v>218</v>
      </c>
      <c r="C48">
        <v>14</v>
      </c>
      <c r="D48" t="s">
        <v>196</v>
      </c>
      <c r="E48">
        <v>0.5</v>
      </c>
      <c r="F48">
        <v>11.12</v>
      </c>
      <c r="G48">
        <v>105.98</v>
      </c>
      <c r="H48" t="s">
        <v>198</v>
      </c>
      <c r="I48">
        <v>21.5</v>
      </c>
      <c r="J48">
        <v>10.62</v>
      </c>
      <c r="K48">
        <v>228.33</v>
      </c>
      <c r="L48">
        <v>0</v>
      </c>
    </row>
    <row r="49" spans="1:12" x14ac:dyDescent="0.25">
      <c r="A49" s="64">
        <v>45645</v>
      </c>
      <c r="B49" t="s">
        <v>218</v>
      </c>
      <c r="C49">
        <v>13</v>
      </c>
      <c r="D49" t="s">
        <v>253</v>
      </c>
      <c r="E49">
        <v>0.5</v>
      </c>
      <c r="F49">
        <v>9.7200000000000006</v>
      </c>
      <c r="G49">
        <v>129.52000000000001</v>
      </c>
      <c r="H49" t="s">
        <v>385</v>
      </c>
      <c r="I49">
        <v>21.5</v>
      </c>
      <c r="J49">
        <v>9.2200000000000006</v>
      </c>
      <c r="K49">
        <v>198.23</v>
      </c>
      <c r="L49">
        <v>0</v>
      </c>
    </row>
    <row r="50" spans="1:12" x14ac:dyDescent="0.25">
      <c r="A50" s="64">
        <v>45645</v>
      </c>
      <c r="B50" t="s">
        <v>218</v>
      </c>
      <c r="C50">
        <v>10</v>
      </c>
      <c r="D50" t="s">
        <v>205</v>
      </c>
      <c r="E50">
        <v>0.5</v>
      </c>
      <c r="F50">
        <v>9.73</v>
      </c>
      <c r="G50">
        <v>86.47</v>
      </c>
      <c r="H50" t="s">
        <v>344</v>
      </c>
      <c r="I50">
        <v>21.5</v>
      </c>
      <c r="J50">
        <v>9.23</v>
      </c>
      <c r="K50">
        <v>198.44499999999999</v>
      </c>
      <c r="L50">
        <v>0</v>
      </c>
    </row>
    <row r="51" spans="1:12" x14ac:dyDescent="0.25">
      <c r="A51" s="64">
        <v>45645</v>
      </c>
      <c r="B51" t="s">
        <v>218</v>
      </c>
      <c r="C51">
        <v>13</v>
      </c>
      <c r="D51" t="s">
        <v>252</v>
      </c>
      <c r="E51">
        <v>0.5</v>
      </c>
      <c r="F51">
        <v>11.3</v>
      </c>
      <c r="G51">
        <v>116.78</v>
      </c>
      <c r="H51" t="s">
        <v>386</v>
      </c>
      <c r="I51">
        <v>21.5</v>
      </c>
      <c r="J51">
        <v>10.8</v>
      </c>
      <c r="K51">
        <v>232.2</v>
      </c>
      <c r="L51">
        <v>0</v>
      </c>
    </row>
    <row r="52" spans="1:12" x14ac:dyDescent="0.25">
      <c r="A52" s="64">
        <v>45645</v>
      </c>
      <c r="B52" t="s">
        <v>218</v>
      </c>
      <c r="C52">
        <v>0</v>
      </c>
      <c r="D52" t="s">
        <v>193</v>
      </c>
      <c r="E52">
        <v>0</v>
      </c>
      <c r="F52">
        <v>0</v>
      </c>
      <c r="G52">
        <v>0</v>
      </c>
      <c r="H52" t="s">
        <v>195</v>
      </c>
      <c r="I52">
        <v>21.5</v>
      </c>
      <c r="J52">
        <v>0</v>
      </c>
      <c r="K52">
        <v>0</v>
      </c>
      <c r="L52">
        <v>0</v>
      </c>
    </row>
    <row r="53" spans="1:12" x14ac:dyDescent="0.25">
      <c r="A53" s="64">
        <v>45646</v>
      </c>
      <c r="C53">
        <v>0</v>
      </c>
      <c r="D53" t="s">
        <v>368</v>
      </c>
      <c r="E53">
        <v>0</v>
      </c>
      <c r="F53">
        <v>0</v>
      </c>
      <c r="G53">
        <v>0</v>
      </c>
      <c r="J53">
        <v>0</v>
      </c>
      <c r="L53">
        <v>0</v>
      </c>
    </row>
    <row r="54" spans="1:12" x14ac:dyDescent="0.25">
      <c r="A54" s="64">
        <v>45646</v>
      </c>
      <c r="C54">
        <v>0</v>
      </c>
      <c r="D54" t="s">
        <v>369</v>
      </c>
      <c r="E54">
        <v>0</v>
      </c>
      <c r="F54">
        <v>0</v>
      </c>
      <c r="G54">
        <v>0</v>
      </c>
      <c r="J54">
        <v>0</v>
      </c>
      <c r="L54">
        <v>0</v>
      </c>
    </row>
    <row r="55" spans="1:12" x14ac:dyDescent="0.25">
      <c r="A55" s="64">
        <v>45646</v>
      </c>
      <c r="B55" t="s">
        <v>218</v>
      </c>
      <c r="C55">
        <v>17</v>
      </c>
      <c r="D55" t="s">
        <v>211</v>
      </c>
      <c r="E55">
        <v>0.5</v>
      </c>
      <c r="F55">
        <v>10.27</v>
      </c>
      <c r="G55">
        <v>138.74</v>
      </c>
      <c r="H55" t="s">
        <v>213</v>
      </c>
      <c r="I55">
        <v>21.5</v>
      </c>
      <c r="J55">
        <v>9.77</v>
      </c>
      <c r="K55">
        <v>210.05500000000001</v>
      </c>
      <c r="L55">
        <v>0</v>
      </c>
    </row>
    <row r="56" spans="1:12" x14ac:dyDescent="0.25">
      <c r="A56" s="64">
        <v>45646</v>
      </c>
      <c r="B56" t="s">
        <v>218</v>
      </c>
      <c r="C56">
        <v>0</v>
      </c>
      <c r="D56" t="s">
        <v>199</v>
      </c>
      <c r="E56">
        <v>0</v>
      </c>
      <c r="F56">
        <v>0</v>
      </c>
      <c r="G56">
        <v>0</v>
      </c>
      <c r="H56" t="s">
        <v>201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45646</v>
      </c>
      <c r="B57" t="s">
        <v>218</v>
      </c>
      <c r="C57">
        <v>13</v>
      </c>
      <c r="D57" t="s">
        <v>350</v>
      </c>
      <c r="E57">
        <v>0.5</v>
      </c>
      <c r="F57">
        <v>9.92</v>
      </c>
      <c r="G57">
        <v>109.55</v>
      </c>
      <c r="H57" t="s">
        <v>348</v>
      </c>
      <c r="I57">
        <v>21.5</v>
      </c>
      <c r="J57">
        <v>9.42</v>
      </c>
      <c r="K57">
        <v>202.53</v>
      </c>
      <c r="L57">
        <v>0</v>
      </c>
    </row>
    <row r="58" spans="1:12" x14ac:dyDescent="0.25">
      <c r="A58" s="64">
        <v>45646</v>
      </c>
      <c r="B58" t="s">
        <v>218</v>
      </c>
      <c r="C58">
        <v>13</v>
      </c>
      <c r="D58" t="s">
        <v>191</v>
      </c>
      <c r="E58">
        <v>0.5</v>
      </c>
      <c r="F58">
        <v>10.63</v>
      </c>
      <c r="G58">
        <v>107.32</v>
      </c>
      <c r="H58" t="s">
        <v>112</v>
      </c>
      <c r="I58">
        <v>21.5</v>
      </c>
      <c r="J58">
        <v>10.130000000000001</v>
      </c>
      <c r="K58">
        <v>217.79499999999999</v>
      </c>
      <c r="L58">
        <v>0</v>
      </c>
    </row>
    <row r="59" spans="1:12" x14ac:dyDescent="0.25">
      <c r="A59" s="64">
        <v>45646</v>
      </c>
      <c r="B59" t="s">
        <v>218</v>
      </c>
      <c r="C59">
        <v>12</v>
      </c>
      <c r="D59" t="s">
        <v>202</v>
      </c>
      <c r="E59">
        <v>0.5</v>
      </c>
      <c r="F59">
        <v>10.45</v>
      </c>
      <c r="G59">
        <v>137.53</v>
      </c>
      <c r="H59" t="s">
        <v>204</v>
      </c>
      <c r="I59">
        <v>21.5</v>
      </c>
      <c r="J59">
        <v>9.9499999999999993</v>
      </c>
      <c r="K59">
        <v>213.92500000000001</v>
      </c>
      <c r="L59">
        <v>0</v>
      </c>
    </row>
    <row r="60" spans="1:12" x14ac:dyDescent="0.25">
      <c r="A60" s="64">
        <v>45646</v>
      </c>
      <c r="B60" t="s">
        <v>218</v>
      </c>
      <c r="C60">
        <v>14</v>
      </c>
      <c r="D60" t="s">
        <v>208</v>
      </c>
      <c r="E60">
        <v>0.5</v>
      </c>
      <c r="F60">
        <v>10.52</v>
      </c>
      <c r="G60">
        <v>156.65</v>
      </c>
      <c r="H60" t="s">
        <v>210</v>
      </c>
      <c r="I60">
        <v>21.5</v>
      </c>
      <c r="J60">
        <v>10.02</v>
      </c>
      <c r="K60">
        <v>215.43</v>
      </c>
      <c r="L60">
        <v>0</v>
      </c>
    </row>
    <row r="61" spans="1:12" x14ac:dyDescent="0.25">
      <c r="A61" s="64">
        <v>45646</v>
      </c>
      <c r="B61" t="s">
        <v>218</v>
      </c>
      <c r="C61">
        <v>14</v>
      </c>
      <c r="D61" t="s">
        <v>196</v>
      </c>
      <c r="E61">
        <v>0.5</v>
      </c>
      <c r="F61">
        <v>10.65</v>
      </c>
      <c r="G61">
        <v>121.63</v>
      </c>
      <c r="H61" t="s">
        <v>198</v>
      </c>
      <c r="I61">
        <v>21.5</v>
      </c>
      <c r="J61">
        <v>10.15</v>
      </c>
      <c r="K61">
        <v>218.22499999999999</v>
      </c>
      <c r="L61">
        <v>0</v>
      </c>
    </row>
    <row r="62" spans="1:12" x14ac:dyDescent="0.25">
      <c r="A62" s="64">
        <v>45646</v>
      </c>
      <c r="B62" t="s">
        <v>218</v>
      </c>
      <c r="C62">
        <v>12</v>
      </c>
      <c r="D62" t="s">
        <v>253</v>
      </c>
      <c r="E62">
        <v>0.5</v>
      </c>
      <c r="F62">
        <v>9.7799999999999994</v>
      </c>
      <c r="G62">
        <v>118.87</v>
      </c>
      <c r="H62" t="s">
        <v>385</v>
      </c>
      <c r="I62">
        <v>21.5</v>
      </c>
      <c r="J62">
        <v>9.2799999999999994</v>
      </c>
      <c r="K62">
        <v>199.52</v>
      </c>
      <c r="L62">
        <v>0</v>
      </c>
    </row>
    <row r="63" spans="1:12" x14ac:dyDescent="0.25">
      <c r="A63" s="64">
        <v>45646</v>
      </c>
      <c r="B63" t="s">
        <v>218</v>
      </c>
      <c r="C63">
        <v>16</v>
      </c>
      <c r="D63" t="s">
        <v>205</v>
      </c>
      <c r="E63">
        <v>0.5</v>
      </c>
      <c r="F63">
        <v>11.18</v>
      </c>
      <c r="G63">
        <v>146.44</v>
      </c>
      <c r="H63" t="s">
        <v>344</v>
      </c>
      <c r="I63">
        <v>21.5</v>
      </c>
      <c r="J63">
        <v>10.68</v>
      </c>
      <c r="K63">
        <v>229.62</v>
      </c>
      <c r="L63">
        <v>0</v>
      </c>
    </row>
    <row r="64" spans="1:12" x14ac:dyDescent="0.25">
      <c r="A64" s="64">
        <v>45646</v>
      </c>
      <c r="B64" t="s">
        <v>218</v>
      </c>
      <c r="C64">
        <v>13</v>
      </c>
      <c r="D64" t="s">
        <v>252</v>
      </c>
      <c r="E64">
        <v>0.5</v>
      </c>
      <c r="F64">
        <v>10</v>
      </c>
      <c r="G64">
        <v>98.58</v>
      </c>
      <c r="H64" t="s">
        <v>386</v>
      </c>
      <c r="I64">
        <v>21.5</v>
      </c>
      <c r="J64">
        <v>9.5</v>
      </c>
      <c r="K64">
        <v>204.25</v>
      </c>
      <c r="L64">
        <v>0</v>
      </c>
    </row>
    <row r="65" spans="1:12" x14ac:dyDescent="0.25">
      <c r="A65" s="64">
        <v>45646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 t="s">
        <v>195</v>
      </c>
      <c r="I65">
        <v>21.5</v>
      </c>
      <c r="J65">
        <v>0</v>
      </c>
      <c r="K65">
        <v>0</v>
      </c>
      <c r="L65">
        <v>0</v>
      </c>
    </row>
    <row r="66" spans="1:12" x14ac:dyDescent="0.25">
      <c r="A66" s="64">
        <v>45647</v>
      </c>
      <c r="C66">
        <v>0</v>
      </c>
      <c r="D66" t="s">
        <v>369</v>
      </c>
      <c r="E66">
        <v>0</v>
      </c>
      <c r="F66">
        <v>0</v>
      </c>
      <c r="G66">
        <v>0</v>
      </c>
      <c r="J66">
        <v>0</v>
      </c>
      <c r="L66">
        <v>0</v>
      </c>
    </row>
    <row r="67" spans="1:12" x14ac:dyDescent="0.25">
      <c r="A67" s="64">
        <v>45649</v>
      </c>
      <c r="C67">
        <v>0</v>
      </c>
      <c r="D67" t="s">
        <v>368</v>
      </c>
      <c r="E67">
        <v>0</v>
      </c>
      <c r="F67">
        <v>0</v>
      </c>
      <c r="G67">
        <v>0</v>
      </c>
      <c r="J67">
        <v>0</v>
      </c>
      <c r="L67">
        <v>0</v>
      </c>
    </row>
    <row r="68" spans="1:12" x14ac:dyDescent="0.25">
      <c r="A68" s="64">
        <v>45649</v>
      </c>
      <c r="B68" t="s">
        <v>218</v>
      </c>
      <c r="C68">
        <v>13</v>
      </c>
      <c r="D68" t="s">
        <v>211</v>
      </c>
      <c r="E68">
        <v>0.5</v>
      </c>
      <c r="F68">
        <v>10.25</v>
      </c>
      <c r="G68">
        <v>63.57</v>
      </c>
      <c r="H68" t="s">
        <v>213</v>
      </c>
      <c r="I68">
        <v>21.5</v>
      </c>
      <c r="J68">
        <v>9.75</v>
      </c>
      <c r="K68">
        <v>209.625</v>
      </c>
      <c r="L68">
        <v>0</v>
      </c>
    </row>
    <row r="69" spans="1:12" x14ac:dyDescent="0.25">
      <c r="A69" s="64">
        <v>45649</v>
      </c>
      <c r="B69" t="s">
        <v>218</v>
      </c>
      <c r="C69">
        <v>0</v>
      </c>
      <c r="D69" t="s">
        <v>199</v>
      </c>
      <c r="E69">
        <v>0</v>
      </c>
      <c r="F69">
        <v>0</v>
      </c>
      <c r="G69">
        <v>0</v>
      </c>
      <c r="H69" t="s">
        <v>201</v>
      </c>
      <c r="I69">
        <v>21.5</v>
      </c>
      <c r="J69">
        <v>0</v>
      </c>
      <c r="K69">
        <v>0</v>
      </c>
      <c r="L69">
        <v>0</v>
      </c>
    </row>
    <row r="70" spans="1:12" x14ac:dyDescent="0.25">
      <c r="A70" s="64">
        <v>45649</v>
      </c>
      <c r="B70" t="s">
        <v>218</v>
      </c>
      <c r="C70">
        <v>13</v>
      </c>
      <c r="D70" t="s">
        <v>350</v>
      </c>
      <c r="E70">
        <v>0.5</v>
      </c>
      <c r="F70">
        <v>10.6</v>
      </c>
      <c r="G70">
        <v>115.34</v>
      </c>
      <c r="H70" t="s">
        <v>348</v>
      </c>
      <c r="I70">
        <v>21.5</v>
      </c>
      <c r="J70">
        <v>10.1</v>
      </c>
      <c r="K70">
        <v>217.15</v>
      </c>
      <c r="L70">
        <v>0</v>
      </c>
    </row>
    <row r="71" spans="1:12" x14ac:dyDescent="0.25">
      <c r="A71" s="64">
        <v>45649</v>
      </c>
      <c r="B71" t="s">
        <v>218</v>
      </c>
      <c r="C71">
        <v>13</v>
      </c>
      <c r="D71" t="s">
        <v>191</v>
      </c>
      <c r="E71">
        <v>0.5</v>
      </c>
      <c r="F71">
        <v>9.57</v>
      </c>
      <c r="G71">
        <v>107.19</v>
      </c>
      <c r="H71" t="s">
        <v>112</v>
      </c>
      <c r="I71">
        <v>21.5</v>
      </c>
      <c r="J71">
        <v>9.07</v>
      </c>
      <c r="K71">
        <v>195.005</v>
      </c>
      <c r="L71">
        <v>0</v>
      </c>
    </row>
    <row r="72" spans="1:12" x14ac:dyDescent="0.25">
      <c r="A72" s="64">
        <v>45649</v>
      </c>
      <c r="B72" t="s">
        <v>218</v>
      </c>
      <c r="C72">
        <v>12</v>
      </c>
      <c r="D72" t="s">
        <v>202</v>
      </c>
      <c r="E72">
        <v>0.5</v>
      </c>
      <c r="F72">
        <v>10.42</v>
      </c>
      <c r="G72">
        <v>118</v>
      </c>
      <c r="H72" t="s">
        <v>204</v>
      </c>
      <c r="I72">
        <v>21.5</v>
      </c>
      <c r="J72">
        <v>9.92</v>
      </c>
      <c r="K72">
        <v>213.28</v>
      </c>
      <c r="L72">
        <v>0</v>
      </c>
    </row>
    <row r="73" spans="1:12" x14ac:dyDescent="0.25">
      <c r="A73" s="64">
        <v>45649</v>
      </c>
      <c r="B73" t="s">
        <v>218</v>
      </c>
      <c r="C73">
        <v>14</v>
      </c>
      <c r="D73" t="s">
        <v>208</v>
      </c>
      <c r="E73">
        <v>0.5</v>
      </c>
      <c r="F73">
        <v>9.3699999999999992</v>
      </c>
      <c r="G73">
        <v>91.65</v>
      </c>
      <c r="H73" t="s">
        <v>210</v>
      </c>
      <c r="I73">
        <v>21.5</v>
      </c>
      <c r="J73">
        <v>8.8699999999999992</v>
      </c>
      <c r="K73">
        <v>190.70500000000001</v>
      </c>
      <c r="L73">
        <v>0</v>
      </c>
    </row>
    <row r="74" spans="1:12" x14ac:dyDescent="0.25">
      <c r="A74" s="64">
        <v>45649</v>
      </c>
      <c r="B74" t="s">
        <v>218</v>
      </c>
      <c r="C74">
        <v>14</v>
      </c>
      <c r="D74" t="s">
        <v>196</v>
      </c>
      <c r="E74">
        <v>0.5</v>
      </c>
      <c r="F74">
        <v>10.220000000000001</v>
      </c>
      <c r="G74">
        <v>121.84</v>
      </c>
      <c r="H74" t="s">
        <v>198</v>
      </c>
      <c r="I74">
        <v>21.5</v>
      </c>
      <c r="J74">
        <v>9.7200000000000006</v>
      </c>
      <c r="K74">
        <v>208.98</v>
      </c>
      <c r="L74">
        <v>0</v>
      </c>
    </row>
    <row r="75" spans="1:12" x14ac:dyDescent="0.25">
      <c r="A75" s="64">
        <v>45649</v>
      </c>
      <c r="B75" t="s">
        <v>218</v>
      </c>
      <c r="C75">
        <v>13</v>
      </c>
      <c r="D75" t="s">
        <v>253</v>
      </c>
      <c r="E75">
        <v>0.5</v>
      </c>
      <c r="F75">
        <v>10.4</v>
      </c>
      <c r="G75">
        <v>139.68</v>
      </c>
      <c r="H75" t="s">
        <v>385</v>
      </c>
      <c r="I75">
        <v>21.5</v>
      </c>
      <c r="J75">
        <v>9.9</v>
      </c>
      <c r="K75">
        <v>212.85</v>
      </c>
      <c r="L75">
        <v>0</v>
      </c>
    </row>
    <row r="76" spans="1:12" x14ac:dyDescent="0.25">
      <c r="A76" s="64">
        <v>45649</v>
      </c>
      <c r="B76" t="s">
        <v>218</v>
      </c>
      <c r="C76">
        <v>15</v>
      </c>
      <c r="D76" t="s">
        <v>205</v>
      </c>
      <c r="E76">
        <v>0.5</v>
      </c>
      <c r="F76">
        <v>10.68</v>
      </c>
      <c r="G76">
        <v>106.31</v>
      </c>
      <c r="H76" t="s">
        <v>344</v>
      </c>
      <c r="I76">
        <v>21.5</v>
      </c>
      <c r="J76">
        <v>10.18</v>
      </c>
      <c r="K76">
        <v>218.87</v>
      </c>
      <c r="L76">
        <v>0</v>
      </c>
    </row>
    <row r="77" spans="1:12" x14ac:dyDescent="0.25">
      <c r="A77" s="64">
        <v>45649</v>
      </c>
      <c r="B77" t="s">
        <v>218</v>
      </c>
      <c r="C77">
        <v>15</v>
      </c>
      <c r="D77" t="s">
        <v>252</v>
      </c>
      <c r="E77">
        <v>0.5</v>
      </c>
      <c r="F77">
        <v>10.82</v>
      </c>
      <c r="G77">
        <v>120.33</v>
      </c>
      <c r="H77" t="s">
        <v>386</v>
      </c>
      <c r="I77">
        <v>21.5</v>
      </c>
      <c r="J77">
        <v>10.32</v>
      </c>
      <c r="K77">
        <v>221.88</v>
      </c>
      <c r="L77">
        <v>0</v>
      </c>
    </row>
    <row r="78" spans="1:12" x14ac:dyDescent="0.25">
      <c r="A78" s="64">
        <v>45649</v>
      </c>
      <c r="B78" t="s">
        <v>218</v>
      </c>
      <c r="C78">
        <v>0</v>
      </c>
      <c r="D78" t="s">
        <v>193</v>
      </c>
      <c r="E78">
        <v>0</v>
      </c>
      <c r="F78">
        <v>0</v>
      </c>
      <c r="G78">
        <v>0</v>
      </c>
      <c r="H78" t="s">
        <v>195</v>
      </c>
      <c r="I78">
        <v>21.5</v>
      </c>
      <c r="J78">
        <v>0</v>
      </c>
      <c r="K78">
        <v>0</v>
      </c>
      <c r="L78">
        <v>0</v>
      </c>
    </row>
    <row r="79" spans="1:12" x14ac:dyDescent="0.25">
      <c r="A79" s="64">
        <v>45650</v>
      </c>
      <c r="C79">
        <v>0</v>
      </c>
      <c r="D79" t="s">
        <v>369</v>
      </c>
      <c r="E79">
        <v>0</v>
      </c>
      <c r="F79">
        <v>0</v>
      </c>
      <c r="G79">
        <v>0</v>
      </c>
      <c r="J79">
        <v>0</v>
      </c>
      <c r="L79">
        <v>0</v>
      </c>
    </row>
    <row r="80" spans="1:12" x14ac:dyDescent="0.25">
      <c r="A80" s="64">
        <v>45650</v>
      </c>
      <c r="C80">
        <v>0</v>
      </c>
      <c r="D80" t="s">
        <v>368</v>
      </c>
      <c r="E80">
        <v>0</v>
      </c>
      <c r="F80">
        <v>0</v>
      </c>
      <c r="G80">
        <v>0</v>
      </c>
      <c r="J80">
        <v>0</v>
      </c>
      <c r="L80">
        <v>0</v>
      </c>
    </row>
    <row r="81" spans="1:12" x14ac:dyDescent="0.25">
      <c r="A81" s="64">
        <v>45650</v>
      </c>
      <c r="B81" t="s">
        <v>218</v>
      </c>
      <c r="C81">
        <v>11</v>
      </c>
      <c r="D81" t="s">
        <v>211</v>
      </c>
      <c r="E81">
        <v>0.5</v>
      </c>
      <c r="F81">
        <v>10.23</v>
      </c>
      <c r="G81">
        <v>136.59</v>
      </c>
      <c r="H81" t="s">
        <v>213</v>
      </c>
      <c r="I81">
        <v>21.5</v>
      </c>
      <c r="J81">
        <v>9.73</v>
      </c>
      <c r="K81">
        <v>209.19499999999999</v>
      </c>
      <c r="L81">
        <v>0</v>
      </c>
    </row>
    <row r="82" spans="1:12" x14ac:dyDescent="0.25">
      <c r="A82" s="64">
        <v>45650</v>
      </c>
      <c r="B82" t="s">
        <v>218</v>
      </c>
      <c r="C82">
        <v>0</v>
      </c>
      <c r="D82" t="s">
        <v>199</v>
      </c>
      <c r="E82">
        <v>0</v>
      </c>
      <c r="F82">
        <v>0</v>
      </c>
      <c r="G82">
        <v>0</v>
      </c>
      <c r="H82" t="s">
        <v>201</v>
      </c>
      <c r="I82">
        <v>21.5</v>
      </c>
      <c r="J82">
        <v>0</v>
      </c>
      <c r="K82">
        <v>0</v>
      </c>
      <c r="L82">
        <v>0</v>
      </c>
    </row>
    <row r="83" spans="1:12" x14ac:dyDescent="0.25">
      <c r="A83" s="64">
        <v>45650</v>
      </c>
      <c r="B83" t="s">
        <v>218</v>
      </c>
      <c r="C83">
        <v>10</v>
      </c>
      <c r="D83" t="s">
        <v>350</v>
      </c>
      <c r="E83">
        <v>0.5</v>
      </c>
      <c r="F83">
        <v>9.9499999999999993</v>
      </c>
      <c r="G83">
        <v>147.31</v>
      </c>
      <c r="H83" t="s">
        <v>348</v>
      </c>
      <c r="I83">
        <v>21.5</v>
      </c>
      <c r="J83">
        <v>9.4499999999999993</v>
      </c>
      <c r="K83">
        <v>203.17500000000001</v>
      </c>
      <c r="L83">
        <v>0</v>
      </c>
    </row>
    <row r="84" spans="1:12" x14ac:dyDescent="0.25">
      <c r="A84" s="64">
        <v>45650</v>
      </c>
      <c r="B84" t="s">
        <v>218</v>
      </c>
      <c r="C84">
        <v>14</v>
      </c>
      <c r="D84" t="s">
        <v>191</v>
      </c>
      <c r="E84">
        <v>0.5</v>
      </c>
      <c r="F84">
        <v>10.3</v>
      </c>
      <c r="G84">
        <v>121.6</v>
      </c>
      <c r="H84" t="s">
        <v>112</v>
      </c>
      <c r="I84">
        <v>21.5</v>
      </c>
      <c r="J84">
        <v>9.8000000000000007</v>
      </c>
      <c r="K84">
        <v>210.7</v>
      </c>
      <c r="L84">
        <v>0</v>
      </c>
    </row>
    <row r="85" spans="1:12" x14ac:dyDescent="0.25">
      <c r="A85" s="64">
        <v>45650</v>
      </c>
      <c r="B85" t="s">
        <v>218</v>
      </c>
      <c r="C85">
        <v>12</v>
      </c>
      <c r="D85" t="s">
        <v>202</v>
      </c>
      <c r="E85">
        <v>0.5</v>
      </c>
      <c r="F85">
        <v>10.62</v>
      </c>
      <c r="G85">
        <v>117.64</v>
      </c>
      <c r="H85" t="s">
        <v>204</v>
      </c>
      <c r="I85">
        <v>21.5</v>
      </c>
      <c r="J85">
        <v>10.119999999999999</v>
      </c>
      <c r="K85">
        <v>217.58</v>
      </c>
      <c r="L85">
        <v>0</v>
      </c>
    </row>
    <row r="86" spans="1:12" x14ac:dyDescent="0.25">
      <c r="A86" s="64">
        <v>45650</v>
      </c>
      <c r="B86" t="s">
        <v>218</v>
      </c>
      <c r="C86">
        <v>14</v>
      </c>
      <c r="D86" t="s">
        <v>208</v>
      </c>
      <c r="E86">
        <v>0.5</v>
      </c>
      <c r="F86">
        <v>10.75</v>
      </c>
      <c r="G86">
        <v>111</v>
      </c>
      <c r="H86" t="s">
        <v>210</v>
      </c>
      <c r="I86">
        <v>21.5</v>
      </c>
      <c r="J86">
        <v>10.25</v>
      </c>
      <c r="K86">
        <v>220.375</v>
      </c>
      <c r="L86">
        <v>0</v>
      </c>
    </row>
    <row r="87" spans="1:12" x14ac:dyDescent="0.25">
      <c r="A87" s="64">
        <v>45650</v>
      </c>
      <c r="B87" t="s">
        <v>218</v>
      </c>
      <c r="C87">
        <v>10</v>
      </c>
      <c r="D87" t="s">
        <v>196</v>
      </c>
      <c r="E87">
        <v>0.5</v>
      </c>
      <c r="F87">
        <v>10.18</v>
      </c>
      <c r="G87">
        <v>120.35</v>
      </c>
      <c r="H87" t="s">
        <v>198</v>
      </c>
      <c r="I87">
        <v>21.5</v>
      </c>
      <c r="J87">
        <v>9.68</v>
      </c>
      <c r="K87">
        <v>208.12</v>
      </c>
      <c r="L87">
        <v>0</v>
      </c>
    </row>
    <row r="88" spans="1:12" x14ac:dyDescent="0.25">
      <c r="A88" s="64">
        <v>45650</v>
      </c>
      <c r="B88" t="s">
        <v>218</v>
      </c>
      <c r="C88">
        <v>12</v>
      </c>
      <c r="D88" t="s">
        <v>253</v>
      </c>
      <c r="E88">
        <v>0.5</v>
      </c>
      <c r="F88">
        <v>9.98</v>
      </c>
      <c r="G88">
        <v>110.31</v>
      </c>
      <c r="H88" t="s">
        <v>385</v>
      </c>
      <c r="I88">
        <v>21.5</v>
      </c>
      <c r="J88">
        <v>9.48</v>
      </c>
      <c r="K88">
        <v>203.82</v>
      </c>
      <c r="L88">
        <v>0</v>
      </c>
    </row>
    <row r="89" spans="1:12" x14ac:dyDescent="0.25">
      <c r="A89" s="64">
        <v>45650</v>
      </c>
      <c r="B89" t="s">
        <v>218</v>
      </c>
      <c r="C89">
        <v>7</v>
      </c>
      <c r="D89" t="s">
        <v>205</v>
      </c>
      <c r="E89">
        <v>0.5</v>
      </c>
      <c r="F89">
        <v>9.3800000000000008</v>
      </c>
      <c r="G89">
        <v>78.97</v>
      </c>
      <c r="H89" t="s">
        <v>344</v>
      </c>
      <c r="I89">
        <v>21.5</v>
      </c>
      <c r="J89">
        <v>8.8800000000000008</v>
      </c>
      <c r="K89">
        <v>190.92</v>
      </c>
      <c r="L89">
        <v>0</v>
      </c>
    </row>
    <row r="90" spans="1:12" x14ac:dyDescent="0.25">
      <c r="A90" s="64">
        <v>45650</v>
      </c>
      <c r="B90" t="s">
        <v>218</v>
      </c>
      <c r="C90">
        <v>11</v>
      </c>
      <c r="D90" t="s">
        <v>252</v>
      </c>
      <c r="E90">
        <v>0.5</v>
      </c>
      <c r="F90">
        <v>10.72</v>
      </c>
      <c r="G90">
        <v>105.8</v>
      </c>
      <c r="H90" t="s">
        <v>386</v>
      </c>
      <c r="I90">
        <v>21.5</v>
      </c>
      <c r="J90">
        <v>10.220000000000001</v>
      </c>
      <c r="K90">
        <v>219.73</v>
      </c>
      <c r="L90">
        <v>0</v>
      </c>
    </row>
    <row r="91" spans="1:12" x14ac:dyDescent="0.25">
      <c r="A91" s="64">
        <v>45650</v>
      </c>
      <c r="B91" t="s">
        <v>218</v>
      </c>
      <c r="C91">
        <v>0</v>
      </c>
      <c r="D91" t="s">
        <v>193</v>
      </c>
      <c r="E91">
        <v>0</v>
      </c>
      <c r="F91">
        <v>0</v>
      </c>
      <c r="G91">
        <v>0</v>
      </c>
      <c r="H91" t="s">
        <v>195</v>
      </c>
      <c r="I91">
        <v>21.5</v>
      </c>
      <c r="J91">
        <v>0</v>
      </c>
      <c r="K91">
        <v>0</v>
      </c>
      <c r="L91">
        <v>0</v>
      </c>
    </row>
    <row r="92" spans="1:12" x14ac:dyDescent="0.25">
      <c r="A92" s="64">
        <v>45652</v>
      </c>
      <c r="C92">
        <v>0</v>
      </c>
      <c r="D92" t="s">
        <v>369</v>
      </c>
      <c r="E92">
        <v>0</v>
      </c>
      <c r="F92">
        <v>0</v>
      </c>
      <c r="G92">
        <v>0</v>
      </c>
      <c r="J92">
        <v>0</v>
      </c>
      <c r="L92">
        <v>0</v>
      </c>
    </row>
    <row r="93" spans="1:12" x14ac:dyDescent="0.25">
      <c r="A93" s="64">
        <v>45652</v>
      </c>
      <c r="C93">
        <v>0</v>
      </c>
      <c r="D93" t="s">
        <v>368</v>
      </c>
      <c r="E93">
        <v>0</v>
      </c>
      <c r="F93">
        <v>0</v>
      </c>
      <c r="G93">
        <v>0</v>
      </c>
      <c r="J93">
        <v>0</v>
      </c>
      <c r="L93">
        <v>0</v>
      </c>
    </row>
    <row r="94" spans="1:12" x14ac:dyDescent="0.25">
      <c r="A94" s="64">
        <v>45652</v>
      </c>
      <c r="B94" t="s">
        <v>218</v>
      </c>
      <c r="C94">
        <v>0</v>
      </c>
      <c r="D94" t="s">
        <v>211</v>
      </c>
      <c r="E94">
        <v>0</v>
      </c>
      <c r="F94">
        <v>0</v>
      </c>
      <c r="G94">
        <v>0</v>
      </c>
      <c r="H94" t="s">
        <v>213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45652</v>
      </c>
      <c r="B95" t="s">
        <v>218</v>
      </c>
      <c r="C95">
        <v>0</v>
      </c>
      <c r="D95" t="s">
        <v>199</v>
      </c>
      <c r="E95">
        <v>0</v>
      </c>
      <c r="F95">
        <v>0</v>
      </c>
      <c r="G95">
        <v>0</v>
      </c>
      <c r="H95" t="s">
        <v>201</v>
      </c>
      <c r="I95">
        <v>21.5</v>
      </c>
      <c r="J95">
        <v>0</v>
      </c>
      <c r="K95">
        <v>0</v>
      </c>
      <c r="L95">
        <v>0</v>
      </c>
    </row>
    <row r="96" spans="1:12" x14ac:dyDescent="0.25">
      <c r="A96" s="64">
        <v>45652</v>
      </c>
      <c r="B96" t="s">
        <v>218</v>
      </c>
      <c r="C96">
        <v>10</v>
      </c>
      <c r="D96" t="s">
        <v>350</v>
      </c>
      <c r="E96">
        <v>0.5</v>
      </c>
      <c r="F96">
        <v>10.32</v>
      </c>
      <c r="G96">
        <v>95.18</v>
      </c>
      <c r="H96" t="s">
        <v>348</v>
      </c>
      <c r="I96">
        <v>21.5</v>
      </c>
      <c r="J96">
        <v>9.82</v>
      </c>
      <c r="K96">
        <v>211.13</v>
      </c>
      <c r="L96">
        <v>0</v>
      </c>
    </row>
    <row r="97" spans="1:12" x14ac:dyDescent="0.25">
      <c r="A97" s="64">
        <v>45652</v>
      </c>
      <c r="B97" t="s">
        <v>218</v>
      </c>
      <c r="C97">
        <v>12</v>
      </c>
      <c r="D97" t="s">
        <v>191</v>
      </c>
      <c r="E97">
        <v>0.5</v>
      </c>
      <c r="F97">
        <v>10.47</v>
      </c>
      <c r="G97">
        <v>126</v>
      </c>
      <c r="H97" t="s">
        <v>112</v>
      </c>
      <c r="I97">
        <v>21.5</v>
      </c>
      <c r="J97">
        <v>9.9700000000000006</v>
      </c>
      <c r="K97">
        <v>214.35499999999999</v>
      </c>
      <c r="L97">
        <v>0</v>
      </c>
    </row>
    <row r="98" spans="1:12" x14ac:dyDescent="0.25">
      <c r="A98" s="64">
        <v>45652</v>
      </c>
      <c r="B98" t="s">
        <v>218</v>
      </c>
      <c r="C98">
        <v>8</v>
      </c>
      <c r="D98" t="s">
        <v>202</v>
      </c>
      <c r="E98">
        <v>0.5</v>
      </c>
      <c r="F98">
        <v>10.07</v>
      </c>
      <c r="G98">
        <v>110.38</v>
      </c>
      <c r="H98" t="s">
        <v>204</v>
      </c>
      <c r="I98">
        <v>21.5</v>
      </c>
      <c r="J98">
        <v>9.57</v>
      </c>
      <c r="K98">
        <v>205.755</v>
      </c>
      <c r="L98">
        <v>0</v>
      </c>
    </row>
    <row r="99" spans="1:12" x14ac:dyDescent="0.25">
      <c r="A99" s="64">
        <v>45652</v>
      </c>
      <c r="B99" t="s">
        <v>218</v>
      </c>
      <c r="C99">
        <v>12</v>
      </c>
      <c r="D99" t="s">
        <v>208</v>
      </c>
      <c r="E99">
        <v>0.5</v>
      </c>
      <c r="F99">
        <v>10.25</v>
      </c>
      <c r="G99">
        <v>145.66</v>
      </c>
      <c r="H99" t="s">
        <v>210</v>
      </c>
      <c r="I99">
        <v>21.5</v>
      </c>
      <c r="J99">
        <v>9.75</v>
      </c>
      <c r="K99">
        <v>209.625</v>
      </c>
      <c r="L99">
        <v>0</v>
      </c>
    </row>
    <row r="100" spans="1:12" x14ac:dyDescent="0.25">
      <c r="A100" s="64">
        <v>45652</v>
      </c>
      <c r="B100" t="s">
        <v>218</v>
      </c>
      <c r="C100">
        <v>9</v>
      </c>
      <c r="D100" t="s">
        <v>196</v>
      </c>
      <c r="E100">
        <v>0.5</v>
      </c>
      <c r="F100">
        <v>8.35</v>
      </c>
      <c r="G100">
        <v>90.77</v>
      </c>
      <c r="H100" t="s">
        <v>198</v>
      </c>
      <c r="I100">
        <v>21.5</v>
      </c>
      <c r="J100">
        <v>7.85</v>
      </c>
      <c r="K100">
        <v>168.77500000000001</v>
      </c>
      <c r="L100">
        <v>0</v>
      </c>
    </row>
    <row r="101" spans="1:12" x14ac:dyDescent="0.25">
      <c r="A101" s="64">
        <v>45652</v>
      </c>
      <c r="B101" t="s">
        <v>218</v>
      </c>
      <c r="C101">
        <v>12</v>
      </c>
      <c r="D101" t="s">
        <v>253</v>
      </c>
      <c r="E101">
        <v>0.5</v>
      </c>
      <c r="F101">
        <v>9.98</v>
      </c>
      <c r="G101">
        <v>122.09</v>
      </c>
      <c r="H101" t="s">
        <v>385</v>
      </c>
      <c r="I101">
        <v>21.5</v>
      </c>
      <c r="J101">
        <v>9.48</v>
      </c>
      <c r="K101">
        <v>203.82</v>
      </c>
      <c r="L101">
        <v>0</v>
      </c>
    </row>
    <row r="102" spans="1:12" x14ac:dyDescent="0.25">
      <c r="A102" s="64">
        <v>45652</v>
      </c>
      <c r="B102" t="s">
        <v>218</v>
      </c>
      <c r="C102">
        <v>0</v>
      </c>
      <c r="D102" t="s">
        <v>205</v>
      </c>
      <c r="E102">
        <v>0</v>
      </c>
      <c r="F102">
        <v>0</v>
      </c>
      <c r="G102">
        <v>0</v>
      </c>
      <c r="H102" t="s">
        <v>344</v>
      </c>
      <c r="I102">
        <v>21.5</v>
      </c>
      <c r="J102">
        <v>0</v>
      </c>
      <c r="K102">
        <v>0</v>
      </c>
      <c r="L102">
        <v>0</v>
      </c>
    </row>
    <row r="103" spans="1:12" x14ac:dyDescent="0.25">
      <c r="A103" s="64">
        <v>45652</v>
      </c>
      <c r="B103" t="s">
        <v>218</v>
      </c>
      <c r="C103">
        <v>9</v>
      </c>
      <c r="D103" t="s">
        <v>252</v>
      </c>
      <c r="E103">
        <v>0.5</v>
      </c>
      <c r="F103">
        <v>9.5500000000000007</v>
      </c>
      <c r="G103">
        <v>70.13</v>
      </c>
      <c r="H103" t="s">
        <v>386</v>
      </c>
      <c r="I103">
        <v>21.5</v>
      </c>
      <c r="J103">
        <v>9.0500000000000007</v>
      </c>
      <c r="K103">
        <v>194.57499999999999</v>
      </c>
      <c r="L103">
        <v>0</v>
      </c>
    </row>
    <row r="104" spans="1:12" x14ac:dyDescent="0.25">
      <c r="A104" s="64">
        <v>45652</v>
      </c>
      <c r="B104" t="s">
        <v>218</v>
      </c>
      <c r="C104">
        <v>0</v>
      </c>
      <c r="D104" t="s">
        <v>193</v>
      </c>
      <c r="E104">
        <v>0</v>
      </c>
      <c r="F104">
        <v>0</v>
      </c>
      <c r="G104">
        <v>0</v>
      </c>
      <c r="H104" t="s">
        <v>195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45653</v>
      </c>
      <c r="C105">
        <v>0</v>
      </c>
      <c r="D105" t="s">
        <v>369</v>
      </c>
      <c r="E105">
        <v>0</v>
      </c>
      <c r="F105">
        <v>0</v>
      </c>
      <c r="G105">
        <v>0</v>
      </c>
      <c r="J105">
        <v>0</v>
      </c>
      <c r="L105">
        <v>0</v>
      </c>
    </row>
    <row r="106" spans="1:12" x14ac:dyDescent="0.25">
      <c r="A106" s="64">
        <v>45653</v>
      </c>
      <c r="C106">
        <v>0</v>
      </c>
      <c r="D106" t="s">
        <v>368</v>
      </c>
      <c r="E106">
        <v>0</v>
      </c>
      <c r="F106">
        <v>0</v>
      </c>
      <c r="G106">
        <v>0</v>
      </c>
      <c r="J106">
        <v>0</v>
      </c>
      <c r="L106">
        <v>0</v>
      </c>
    </row>
    <row r="107" spans="1:12" x14ac:dyDescent="0.25">
      <c r="A107" s="64">
        <v>45653</v>
      </c>
      <c r="B107" t="s">
        <v>218</v>
      </c>
      <c r="C107">
        <v>0</v>
      </c>
      <c r="D107" t="s">
        <v>211</v>
      </c>
      <c r="E107">
        <v>0</v>
      </c>
      <c r="F107">
        <v>0</v>
      </c>
      <c r="G107">
        <v>0</v>
      </c>
      <c r="H107" t="s">
        <v>213</v>
      </c>
      <c r="I107">
        <v>21.5</v>
      </c>
      <c r="J107">
        <v>0</v>
      </c>
      <c r="K107">
        <v>0</v>
      </c>
      <c r="L107">
        <v>0</v>
      </c>
    </row>
    <row r="108" spans="1:12" x14ac:dyDescent="0.25">
      <c r="A108" s="64">
        <v>45653</v>
      </c>
      <c r="B108" t="s">
        <v>218</v>
      </c>
      <c r="C108">
        <v>0</v>
      </c>
      <c r="D108" t="s">
        <v>199</v>
      </c>
      <c r="E108">
        <v>0</v>
      </c>
      <c r="F108">
        <v>0</v>
      </c>
      <c r="G108">
        <v>0</v>
      </c>
      <c r="H108" t="s">
        <v>201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45653</v>
      </c>
      <c r="B109" t="s">
        <v>218</v>
      </c>
      <c r="C109">
        <v>0</v>
      </c>
      <c r="D109" t="s">
        <v>350</v>
      </c>
      <c r="E109">
        <v>0</v>
      </c>
      <c r="F109">
        <v>0</v>
      </c>
      <c r="G109">
        <v>0</v>
      </c>
      <c r="H109" t="s">
        <v>348</v>
      </c>
      <c r="I109">
        <v>21.5</v>
      </c>
      <c r="J109">
        <v>0</v>
      </c>
      <c r="K109">
        <v>0</v>
      </c>
      <c r="L109">
        <v>0</v>
      </c>
    </row>
    <row r="110" spans="1:12" x14ac:dyDescent="0.25">
      <c r="A110" s="64">
        <v>45653</v>
      </c>
      <c r="B110" t="s">
        <v>218</v>
      </c>
      <c r="C110">
        <v>14</v>
      </c>
      <c r="D110" t="s">
        <v>191</v>
      </c>
      <c r="E110">
        <v>0.5</v>
      </c>
      <c r="F110">
        <v>9.7799999999999994</v>
      </c>
      <c r="G110">
        <v>119</v>
      </c>
      <c r="H110" t="s">
        <v>112</v>
      </c>
      <c r="I110">
        <v>21.5</v>
      </c>
      <c r="J110">
        <v>9.2799999999999994</v>
      </c>
      <c r="K110">
        <v>199.52</v>
      </c>
      <c r="L110">
        <v>0</v>
      </c>
    </row>
    <row r="111" spans="1:12" x14ac:dyDescent="0.25">
      <c r="A111" s="64">
        <v>45653</v>
      </c>
      <c r="B111" t="s">
        <v>218</v>
      </c>
      <c r="C111">
        <v>12</v>
      </c>
      <c r="D111" t="s">
        <v>202</v>
      </c>
      <c r="E111">
        <v>0.5</v>
      </c>
      <c r="F111">
        <v>10.07</v>
      </c>
      <c r="G111">
        <v>133.56</v>
      </c>
      <c r="H111" t="s">
        <v>204</v>
      </c>
      <c r="I111">
        <v>21.5</v>
      </c>
      <c r="J111">
        <v>9.57</v>
      </c>
      <c r="K111">
        <v>205.755</v>
      </c>
      <c r="L111">
        <v>0</v>
      </c>
    </row>
    <row r="112" spans="1:12" x14ac:dyDescent="0.25">
      <c r="A112" s="64">
        <v>45653</v>
      </c>
      <c r="B112" t="s">
        <v>218</v>
      </c>
      <c r="C112">
        <v>13</v>
      </c>
      <c r="D112" t="s">
        <v>208</v>
      </c>
      <c r="E112">
        <v>0.5</v>
      </c>
      <c r="F112">
        <v>10.6</v>
      </c>
      <c r="G112">
        <v>113.78</v>
      </c>
      <c r="H112" t="s">
        <v>210</v>
      </c>
      <c r="I112">
        <v>21.5</v>
      </c>
      <c r="J112">
        <v>10.1</v>
      </c>
      <c r="K112">
        <v>217.15</v>
      </c>
      <c r="L112">
        <v>0</v>
      </c>
    </row>
    <row r="113" spans="1:12" x14ac:dyDescent="0.25">
      <c r="A113" s="64">
        <v>45653</v>
      </c>
      <c r="B113" t="s">
        <v>218</v>
      </c>
      <c r="C113">
        <v>11</v>
      </c>
      <c r="D113" t="s">
        <v>196</v>
      </c>
      <c r="E113">
        <v>0.5</v>
      </c>
      <c r="F113">
        <v>10.67</v>
      </c>
      <c r="G113">
        <v>115.54</v>
      </c>
      <c r="H113" t="s">
        <v>198</v>
      </c>
      <c r="I113">
        <v>21.5</v>
      </c>
      <c r="J113">
        <v>10.17</v>
      </c>
      <c r="K113">
        <v>218.655</v>
      </c>
      <c r="L113">
        <v>0</v>
      </c>
    </row>
    <row r="114" spans="1:12" x14ac:dyDescent="0.25">
      <c r="A114" s="64">
        <v>45653</v>
      </c>
      <c r="B114" t="s">
        <v>218</v>
      </c>
      <c r="C114">
        <v>13</v>
      </c>
      <c r="D114" t="s">
        <v>253</v>
      </c>
      <c r="E114">
        <v>0.5</v>
      </c>
      <c r="F114">
        <v>10.15</v>
      </c>
      <c r="G114">
        <v>102.32</v>
      </c>
      <c r="H114" t="s">
        <v>385</v>
      </c>
      <c r="I114">
        <v>21.5</v>
      </c>
      <c r="J114">
        <v>9.65</v>
      </c>
      <c r="K114">
        <v>207.47499999999999</v>
      </c>
      <c r="L114">
        <v>0</v>
      </c>
    </row>
    <row r="115" spans="1:12" x14ac:dyDescent="0.25">
      <c r="A115" s="64">
        <v>45653</v>
      </c>
      <c r="B115" t="s">
        <v>218</v>
      </c>
      <c r="C115">
        <v>13</v>
      </c>
      <c r="D115" t="s">
        <v>205</v>
      </c>
      <c r="E115">
        <v>0.5</v>
      </c>
      <c r="F115">
        <v>10.08</v>
      </c>
      <c r="G115">
        <v>89.52</v>
      </c>
      <c r="H115" t="s">
        <v>344</v>
      </c>
      <c r="I115">
        <v>21.5</v>
      </c>
      <c r="J115">
        <v>9.58</v>
      </c>
      <c r="K115">
        <v>205.97</v>
      </c>
      <c r="L115">
        <v>0</v>
      </c>
    </row>
    <row r="116" spans="1:12" x14ac:dyDescent="0.25">
      <c r="A116" s="64">
        <v>45653</v>
      </c>
      <c r="B116" t="s">
        <v>218</v>
      </c>
      <c r="C116">
        <v>13</v>
      </c>
      <c r="D116" t="s">
        <v>252</v>
      </c>
      <c r="E116">
        <v>0.5</v>
      </c>
      <c r="F116">
        <v>10.52</v>
      </c>
      <c r="G116">
        <v>103.23</v>
      </c>
      <c r="H116" t="s">
        <v>386</v>
      </c>
      <c r="I116">
        <v>21.5</v>
      </c>
      <c r="J116">
        <v>10.02</v>
      </c>
      <c r="K116">
        <v>215.43</v>
      </c>
      <c r="L116">
        <v>0</v>
      </c>
    </row>
    <row r="117" spans="1:12" x14ac:dyDescent="0.25">
      <c r="A117" s="64">
        <v>45653</v>
      </c>
      <c r="B117" t="s">
        <v>218</v>
      </c>
      <c r="C117">
        <v>0</v>
      </c>
      <c r="D117" t="s">
        <v>193</v>
      </c>
      <c r="E117">
        <v>0</v>
      </c>
      <c r="F117">
        <v>0</v>
      </c>
      <c r="G117">
        <v>0</v>
      </c>
      <c r="H117" t="s">
        <v>195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45654</v>
      </c>
      <c r="C118">
        <v>0</v>
      </c>
      <c r="D118" t="s">
        <v>369</v>
      </c>
      <c r="E118">
        <v>0</v>
      </c>
      <c r="F118">
        <v>0</v>
      </c>
      <c r="G118">
        <v>0</v>
      </c>
      <c r="J118">
        <v>0</v>
      </c>
      <c r="L118">
        <v>0</v>
      </c>
    </row>
    <row r="119" spans="1:12" x14ac:dyDescent="0.25">
      <c r="A119" s="64">
        <v>45654</v>
      </c>
      <c r="B119" t="s">
        <v>218</v>
      </c>
      <c r="C119">
        <v>9</v>
      </c>
      <c r="D119" t="s">
        <v>252</v>
      </c>
      <c r="E119">
        <v>0</v>
      </c>
      <c r="F119">
        <v>6.42</v>
      </c>
      <c r="G119">
        <v>65.849999999999994</v>
      </c>
      <c r="H119" t="s">
        <v>386</v>
      </c>
      <c r="I119">
        <v>21.5</v>
      </c>
      <c r="J119">
        <v>6.42</v>
      </c>
      <c r="K119">
        <v>138.03</v>
      </c>
      <c r="L11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256</v>
      </c>
      <c r="B1" t="s">
        <v>257</v>
      </c>
      <c r="C1" t="s">
        <v>258</v>
      </c>
      <c r="D1" t="s">
        <v>68</v>
      </c>
      <c r="E1" t="s">
        <v>11</v>
      </c>
      <c r="F1" t="s">
        <v>102</v>
      </c>
      <c r="G1" t="s">
        <v>103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259</v>
      </c>
      <c r="B1" s="63" t="s">
        <v>260</v>
      </c>
      <c r="C1" s="63" t="s">
        <v>261</v>
      </c>
      <c r="D1" s="63" t="s">
        <v>262</v>
      </c>
    </row>
    <row r="2" spans="1:4" x14ac:dyDescent="0.25">
      <c r="B2" t="s">
        <v>263</v>
      </c>
      <c r="C2" t="s">
        <v>264</v>
      </c>
      <c r="D2" t="str">
        <f ca="1">IF(AND(B2=" ",A2=" ")," ",$B$18&amp;A2&amp;B2)</f>
        <v>C:\Users\neild\Desktop\DIV10\Trapeze Hrs RAW DATA</v>
      </c>
    </row>
    <row r="3" spans="1:4" x14ac:dyDescent="0.25">
      <c r="B3" t="s">
        <v>265</v>
      </c>
      <c r="C3" t="s">
        <v>266</v>
      </c>
      <c r="D3" t="str">
        <f ca="1">IF(AND(B3=" ",A3=" ")," ",$B$18&amp;A3&amp;B3)</f>
        <v>C:\Users\neild\Desktop\DIV10\Jasper Trips RAW DATA</v>
      </c>
    </row>
    <row r="4" spans="1:4" x14ac:dyDescent="0.25">
      <c r="B4" t="s">
        <v>267</v>
      </c>
      <c r="C4" t="s">
        <v>268</v>
      </c>
      <c r="D4" t="e">
        <f ca="1">IF(AND(B4=" ",A4=" ")," ",$B$19&amp;A4&amp;B4)</f>
        <v>#VALUE!</v>
      </c>
    </row>
    <row r="5" spans="1:4" x14ac:dyDescent="0.25">
      <c r="B5" t="s">
        <v>269</v>
      </c>
      <c r="C5" t="s">
        <v>270</v>
      </c>
      <c r="D5" t="e">
        <f ca="1">IF(AND(B5=" ",A5=" ")," ",$B$19&amp;A5&amp;B5)</f>
        <v>#VALUE!</v>
      </c>
    </row>
    <row r="6" spans="1:4" x14ac:dyDescent="0.25">
      <c r="B6" t="s">
        <v>271</v>
      </c>
      <c r="C6" t="s">
        <v>272</v>
      </c>
      <c r="D6" t="str">
        <f ca="1">IF(AND(B6=" ",A6=" ")," ",$B$18&amp;A6&amp;B6)</f>
        <v>C:\Users\neild\Desktop\DIV10\Operator Deductions-Other Earnings.xlsx</v>
      </c>
    </row>
    <row r="7" spans="1:4" x14ac:dyDescent="0.25">
      <c r="B7" t="s">
        <v>269</v>
      </c>
      <c r="C7" t="s">
        <v>270</v>
      </c>
      <c r="D7" t="e">
        <f ca="1">IF(AND(B7=" ",A7=" ")," ",$B$19&amp;A7&amp;B7)</f>
        <v>#VALUE!</v>
      </c>
    </row>
    <row r="8" spans="1:4" x14ac:dyDescent="0.25">
      <c r="B8" t="s">
        <v>273</v>
      </c>
      <c r="C8" t="s">
        <v>274</v>
      </c>
      <c r="D8" t="str">
        <f ca="1">IF(AND(B8=" ",A8=" ")," ",$B$18&amp;A8&amp;B8)</f>
        <v>C:\Users\neild\Desktop\DIV10\Uber Raw Data</v>
      </c>
    </row>
    <row r="9" spans="1:4" x14ac:dyDescent="0.25">
      <c r="B9" t="s">
        <v>275</v>
      </c>
      <c r="C9" t="s">
        <v>276</v>
      </c>
      <c r="D9" t="e">
        <f ca="1">IF(AND(B9=" ",A9=" ")," ",$B$19&amp;A9&amp;B9)</f>
        <v>#VALUE!</v>
      </c>
    </row>
    <row r="10" spans="1:4" x14ac:dyDescent="0.25">
      <c r="B10" t="s">
        <v>277</v>
      </c>
      <c r="C10" t="s">
        <v>278</v>
      </c>
      <c r="D10" t="e">
        <f ca="1">IF(AND(B10=" ",A10=" ")," ",$B$19&amp;A10&amp;B10)</f>
        <v>#VALUE!</v>
      </c>
    </row>
    <row r="11" spans="1:4" x14ac:dyDescent="0.25">
      <c r="B11" t="s">
        <v>279</v>
      </c>
      <c r="C11" t="s">
        <v>280</v>
      </c>
      <c r="D11" t="e">
        <f ca="1">IF(AND(B11=" ",A11=" ")," ",$B$19&amp;A11&amp;B11)</f>
        <v>#VALUE!</v>
      </c>
    </row>
    <row r="12" spans="1:4" x14ac:dyDescent="0.25">
      <c r="B12" t="s">
        <v>281</v>
      </c>
      <c r="C12" t="s">
        <v>282</v>
      </c>
      <c r="D12" t="str">
        <f ca="1">IF(AND(B12=" ",A12=" ")," ",$B$18&amp;A12&amp;B12)</f>
        <v>C:\Users\neild\Desktop\DIV10\Coast Transactions</v>
      </c>
    </row>
    <row r="13" spans="1:4" x14ac:dyDescent="0.25">
      <c r="B13" t="s">
        <v>283</v>
      </c>
      <c r="C13" t="s">
        <v>284</v>
      </c>
      <c r="D13" t="str">
        <f ca="1">IF(AND(B13=" ",A13=" ")," ",$B$18&amp;A13&amp;B13)</f>
        <v>C:\Users\neild\Desktop\DIV10\AAA Fuel Price.xlsx</v>
      </c>
    </row>
    <row r="14" spans="1:4" x14ac:dyDescent="0.25">
      <c r="B14" t="s">
        <v>68</v>
      </c>
      <c r="C14" t="s">
        <v>285</v>
      </c>
      <c r="D14" t="str">
        <f ca="1">IF(AND(B14=" ",A14=" ")," ",$B$18&amp;A14&amp;B14)</f>
        <v>C:\Users\neild\Desktop\DIV10\Tolls</v>
      </c>
    </row>
    <row r="17" spans="1:2" x14ac:dyDescent="0.25">
      <c r="A17" s="63" t="s">
        <v>286</v>
      </c>
      <c r="B17" t="str" cm="1">
        <f t="array" aca="1" ref="B17" ca="1">CELL("filename")</f>
        <v>C:\Users\neild\Desktop\DIV10\[VDP_DIV10_1216_1229_FINAL.xlsm]PR</v>
      </c>
    </row>
    <row r="18" spans="1:2" x14ac:dyDescent="0.25">
      <c r="A18" s="63" t="s">
        <v>287</v>
      </c>
      <c r="B18" t="str" cm="1">
        <f t="array" aca="1" ref="B18" ca="1">LEFT(CELL("filename",$B$17),FIND("[",CELL("filename",$B$17),1)-1)</f>
        <v>C:\Users\neild\Desktop\DIV10\</v>
      </c>
    </row>
    <row r="19" spans="1:2" x14ac:dyDescent="0.25">
      <c r="A19" s="63" t="s">
        <v>288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72"/>
  <sheetViews>
    <sheetView topLeftCell="A4" workbookViewId="0">
      <selection activeCell="G2" sqref="G2"/>
    </sheetView>
  </sheetViews>
  <sheetFormatPr defaultRowHeight="15" x14ac:dyDescent="0.25"/>
  <cols>
    <col min="1" max="1" width="10.7109375" bestFit="1" customWidth="1"/>
    <col min="2" max="2" width="23.2851562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8" x14ac:dyDescent="0.25">
      <c r="A2" s="64">
        <v>45642</v>
      </c>
      <c r="B2" t="s">
        <v>113</v>
      </c>
      <c r="C2">
        <v>29</v>
      </c>
      <c r="D2">
        <v>7.51</v>
      </c>
      <c r="E2">
        <v>3.86</v>
      </c>
      <c r="F2">
        <v>28.988599999999998</v>
      </c>
      <c r="G2">
        <v>1.1400000000001853E-2</v>
      </c>
      <c r="H2" t="s">
        <v>112</v>
      </c>
    </row>
    <row r="3" spans="1:8" x14ac:dyDescent="0.25">
      <c r="A3" s="64">
        <v>45642</v>
      </c>
      <c r="B3" t="s">
        <v>362</v>
      </c>
      <c r="C3">
        <v>27.69</v>
      </c>
      <c r="D3">
        <v>8.657</v>
      </c>
      <c r="E3">
        <v>3.2</v>
      </c>
      <c r="F3">
        <v>27.702400000000001</v>
      </c>
      <c r="G3">
        <v>-1.2399999999999523E-2</v>
      </c>
      <c r="H3" t="s">
        <v>344</v>
      </c>
    </row>
    <row r="4" spans="1:8" x14ac:dyDescent="0.25">
      <c r="A4" s="64">
        <v>45642</v>
      </c>
      <c r="B4" t="s">
        <v>363</v>
      </c>
      <c r="C4">
        <v>39</v>
      </c>
      <c r="D4">
        <v>10.265000000000001</v>
      </c>
      <c r="E4">
        <v>3.8</v>
      </c>
      <c r="F4">
        <v>39.006999999999998</v>
      </c>
      <c r="G4">
        <v>-6.9999999999978968E-3</v>
      </c>
      <c r="H4" t="s">
        <v>204</v>
      </c>
    </row>
    <row r="5" spans="1:8" x14ac:dyDescent="0.25">
      <c r="A5" s="64">
        <v>45642</v>
      </c>
      <c r="B5" t="s">
        <v>348</v>
      </c>
      <c r="C5">
        <v>30</v>
      </c>
      <c r="D5">
        <v>7.9</v>
      </c>
      <c r="E5">
        <v>3.8</v>
      </c>
      <c r="F5">
        <v>30.02</v>
      </c>
      <c r="G5">
        <v>-1.9999999999999574E-2</v>
      </c>
      <c r="H5" t="s">
        <v>348</v>
      </c>
    </row>
    <row r="6" spans="1:8" x14ac:dyDescent="0.25">
      <c r="A6" s="64">
        <v>45642</v>
      </c>
      <c r="B6" t="s">
        <v>364</v>
      </c>
      <c r="C6">
        <v>29</v>
      </c>
      <c r="D6">
        <v>7.63</v>
      </c>
      <c r="E6">
        <v>3.8</v>
      </c>
      <c r="F6">
        <v>28.994</v>
      </c>
      <c r="G6">
        <v>6.0000000000002274E-3</v>
      </c>
      <c r="H6" t="s">
        <v>213</v>
      </c>
    </row>
    <row r="7" spans="1:8" x14ac:dyDescent="0.25">
      <c r="A7" s="64">
        <v>45642</v>
      </c>
      <c r="B7" t="s">
        <v>345</v>
      </c>
      <c r="C7">
        <v>59.74</v>
      </c>
      <c r="D7">
        <v>15.56</v>
      </c>
      <c r="E7">
        <v>3.84</v>
      </c>
      <c r="F7">
        <v>59.750399999999999</v>
      </c>
      <c r="G7">
        <v>-1.0399999999997078E-2</v>
      </c>
      <c r="H7" t="s">
        <v>385</v>
      </c>
    </row>
    <row r="8" spans="1:8" x14ac:dyDescent="0.25">
      <c r="A8" s="64">
        <v>45642</v>
      </c>
      <c r="B8" t="s">
        <v>341</v>
      </c>
      <c r="C8">
        <v>39</v>
      </c>
      <c r="D8">
        <v>10.32</v>
      </c>
      <c r="E8">
        <v>3.78</v>
      </c>
      <c r="F8">
        <v>39.009599999999999</v>
      </c>
      <c r="G8">
        <v>-9.5999999999989427E-3</v>
      </c>
      <c r="H8" t="s">
        <v>386</v>
      </c>
    </row>
    <row r="9" spans="1:8" x14ac:dyDescent="0.25">
      <c r="A9" s="64">
        <v>45642</v>
      </c>
      <c r="B9" t="s">
        <v>365</v>
      </c>
      <c r="C9">
        <v>39</v>
      </c>
      <c r="D9">
        <v>10.266</v>
      </c>
      <c r="E9">
        <v>3.8</v>
      </c>
      <c r="F9">
        <v>39.010799999999996</v>
      </c>
      <c r="G9">
        <v>-1.0799999999996146E-2</v>
      </c>
      <c r="H9" t="s">
        <v>210</v>
      </c>
    </row>
    <row r="10" spans="1:8" x14ac:dyDescent="0.25">
      <c r="A10" s="64">
        <v>45642</v>
      </c>
      <c r="B10" t="s">
        <v>366</v>
      </c>
      <c r="C10">
        <v>39</v>
      </c>
      <c r="D10">
        <v>9.9260000000000002</v>
      </c>
      <c r="E10">
        <v>3.93</v>
      </c>
      <c r="F10">
        <v>39.009180000000001</v>
      </c>
      <c r="G10">
        <v>-9.1800000000006321E-3</v>
      </c>
      <c r="H10" t="s">
        <v>198</v>
      </c>
    </row>
    <row r="11" spans="1:8" x14ac:dyDescent="0.25">
      <c r="A11" s="64">
        <v>45643</v>
      </c>
      <c r="B11" t="s">
        <v>113</v>
      </c>
      <c r="C11">
        <v>29</v>
      </c>
      <c r="D11">
        <v>7.63</v>
      </c>
      <c r="E11">
        <v>3.8</v>
      </c>
      <c r="F11">
        <v>28.994</v>
      </c>
      <c r="G11">
        <v>6.0000000000002274E-3</v>
      </c>
      <c r="H11" t="s">
        <v>112</v>
      </c>
    </row>
    <row r="12" spans="1:8" x14ac:dyDescent="0.25">
      <c r="A12" s="64">
        <v>45643</v>
      </c>
      <c r="B12" t="s">
        <v>365</v>
      </c>
      <c r="C12">
        <v>39</v>
      </c>
      <c r="D12">
        <v>10.266</v>
      </c>
      <c r="E12">
        <v>3.8</v>
      </c>
      <c r="F12">
        <v>39.010799999999996</v>
      </c>
      <c r="G12">
        <v>-1.0799999999996146E-2</v>
      </c>
      <c r="H12" t="s">
        <v>210</v>
      </c>
    </row>
    <row r="13" spans="1:8" x14ac:dyDescent="0.25">
      <c r="A13" s="64">
        <v>45643</v>
      </c>
      <c r="B13" t="s">
        <v>364</v>
      </c>
      <c r="C13">
        <v>29</v>
      </c>
      <c r="D13">
        <v>7.43</v>
      </c>
      <c r="E13">
        <v>3.9</v>
      </c>
      <c r="F13">
        <v>28.976999999999997</v>
      </c>
      <c r="G13">
        <v>2.300000000000324E-2</v>
      </c>
      <c r="H13" t="s">
        <v>213</v>
      </c>
    </row>
    <row r="14" spans="1:8" x14ac:dyDescent="0.25">
      <c r="A14" s="64">
        <v>45643</v>
      </c>
      <c r="B14" t="s">
        <v>341</v>
      </c>
      <c r="C14">
        <v>35</v>
      </c>
      <c r="D14">
        <v>9.26</v>
      </c>
      <c r="E14">
        <v>3.78</v>
      </c>
      <c r="F14">
        <v>35.002800000000001</v>
      </c>
      <c r="G14">
        <v>-2.8000000000005798E-3</v>
      </c>
      <c r="H14" t="s">
        <v>386</v>
      </c>
    </row>
    <row r="15" spans="1:8" x14ac:dyDescent="0.25">
      <c r="A15" s="64">
        <v>45643</v>
      </c>
      <c r="B15" t="s">
        <v>366</v>
      </c>
      <c r="C15">
        <v>25.87</v>
      </c>
      <c r="D15">
        <v>6.81</v>
      </c>
      <c r="E15">
        <v>3.8</v>
      </c>
      <c r="F15">
        <v>25.877999999999997</v>
      </c>
      <c r="G15">
        <v>-7.9999999999955662E-3</v>
      </c>
      <c r="H15" t="s">
        <v>198</v>
      </c>
    </row>
    <row r="16" spans="1:8" x14ac:dyDescent="0.25">
      <c r="A16" s="64">
        <v>45643</v>
      </c>
      <c r="B16" t="s">
        <v>348</v>
      </c>
      <c r="C16">
        <v>37.9</v>
      </c>
      <c r="D16">
        <v>11.849</v>
      </c>
      <c r="E16">
        <v>3.2</v>
      </c>
      <c r="F16">
        <v>37.916800000000002</v>
      </c>
      <c r="G16">
        <v>-1.6800000000003479E-2</v>
      </c>
      <c r="H16" t="s">
        <v>348</v>
      </c>
    </row>
    <row r="17" spans="1:8" x14ac:dyDescent="0.25">
      <c r="A17" s="64">
        <v>45643</v>
      </c>
      <c r="B17" t="s">
        <v>362</v>
      </c>
      <c r="C17">
        <v>27.76</v>
      </c>
      <c r="D17">
        <v>8.6780000000000008</v>
      </c>
      <c r="E17">
        <v>3.2</v>
      </c>
      <c r="F17">
        <v>27.769600000000004</v>
      </c>
      <c r="G17">
        <v>-9.6000000000024954E-3</v>
      </c>
      <c r="H17" t="s">
        <v>344</v>
      </c>
    </row>
    <row r="18" spans="1:8" x14ac:dyDescent="0.25">
      <c r="A18" s="64">
        <v>45644</v>
      </c>
      <c r="B18" t="s">
        <v>362</v>
      </c>
      <c r="C18">
        <v>24.15</v>
      </c>
      <c r="D18">
        <v>7.5730000000000004</v>
      </c>
      <c r="E18">
        <v>3.19</v>
      </c>
      <c r="F18">
        <v>24.157870000000003</v>
      </c>
      <c r="G18">
        <v>-7.8700000000040404E-3</v>
      </c>
      <c r="H18" t="s">
        <v>344</v>
      </c>
    </row>
    <row r="19" spans="1:8" x14ac:dyDescent="0.25">
      <c r="A19" s="64">
        <v>45644</v>
      </c>
      <c r="B19" t="s">
        <v>366</v>
      </c>
      <c r="C19">
        <v>39</v>
      </c>
      <c r="D19">
        <v>11.15</v>
      </c>
      <c r="E19">
        <v>3.5</v>
      </c>
      <c r="F19">
        <v>39.024999999999999</v>
      </c>
      <c r="G19">
        <v>-2.4999999999998579E-2</v>
      </c>
      <c r="H19" t="s">
        <v>198</v>
      </c>
    </row>
    <row r="20" spans="1:8" x14ac:dyDescent="0.25">
      <c r="A20" s="64">
        <v>45644</v>
      </c>
      <c r="B20" t="s">
        <v>363</v>
      </c>
      <c r="C20">
        <v>39</v>
      </c>
      <c r="D20">
        <v>8.48</v>
      </c>
      <c r="E20">
        <v>4.5999999999999996</v>
      </c>
      <c r="F20">
        <v>39.007999999999996</v>
      </c>
      <c r="G20">
        <v>-7.9999999999955662E-3</v>
      </c>
      <c r="H20" t="s">
        <v>204</v>
      </c>
    </row>
    <row r="21" spans="1:8" x14ac:dyDescent="0.25">
      <c r="A21" s="64">
        <v>45644</v>
      </c>
      <c r="B21" t="s">
        <v>341</v>
      </c>
      <c r="C21">
        <v>35</v>
      </c>
      <c r="D21">
        <v>9.26</v>
      </c>
      <c r="E21">
        <v>3.78</v>
      </c>
      <c r="F21">
        <v>35.002800000000001</v>
      </c>
      <c r="G21">
        <v>-2.8000000000005798E-3</v>
      </c>
      <c r="H21" t="s">
        <v>386</v>
      </c>
    </row>
    <row r="22" spans="1:8" x14ac:dyDescent="0.25">
      <c r="A22" s="64">
        <v>45644</v>
      </c>
      <c r="B22" t="s">
        <v>364</v>
      </c>
      <c r="C22">
        <v>29</v>
      </c>
      <c r="D22">
        <v>7.75</v>
      </c>
      <c r="E22">
        <v>3.74</v>
      </c>
      <c r="F22">
        <v>28.985000000000003</v>
      </c>
      <c r="G22">
        <v>1.4999999999997016E-2</v>
      </c>
      <c r="H22" t="s">
        <v>213</v>
      </c>
    </row>
    <row r="23" spans="1:8" x14ac:dyDescent="0.25">
      <c r="A23" s="64">
        <v>45644</v>
      </c>
      <c r="B23" t="s">
        <v>113</v>
      </c>
      <c r="C23">
        <v>29</v>
      </c>
      <c r="D23">
        <v>7.63</v>
      </c>
      <c r="E23">
        <v>3.8</v>
      </c>
      <c r="F23">
        <v>28.994</v>
      </c>
      <c r="G23">
        <v>6.0000000000002274E-3</v>
      </c>
      <c r="H23" t="s">
        <v>112</v>
      </c>
    </row>
    <row r="24" spans="1:8" x14ac:dyDescent="0.25">
      <c r="A24" s="64">
        <v>45644</v>
      </c>
      <c r="B24" t="s">
        <v>345</v>
      </c>
      <c r="C24">
        <v>45.84</v>
      </c>
      <c r="D24">
        <v>14.065</v>
      </c>
      <c r="E24">
        <v>3.26</v>
      </c>
      <c r="F24">
        <v>45.851899999999993</v>
      </c>
      <c r="G24">
        <v>-1.189999999999003E-2</v>
      </c>
      <c r="H24" t="s">
        <v>385</v>
      </c>
    </row>
    <row r="25" spans="1:8" x14ac:dyDescent="0.25">
      <c r="A25" s="64">
        <v>45644</v>
      </c>
      <c r="B25" t="s">
        <v>365</v>
      </c>
      <c r="C25">
        <v>39</v>
      </c>
      <c r="D25">
        <v>11.821999999999999</v>
      </c>
      <c r="E25">
        <v>3.3</v>
      </c>
      <c r="F25">
        <v>39.012599999999992</v>
      </c>
      <c r="G25">
        <v>-1.2599999999991951E-2</v>
      </c>
      <c r="H25" t="s">
        <v>210</v>
      </c>
    </row>
    <row r="26" spans="1:8" x14ac:dyDescent="0.25">
      <c r="A26" s="64">
        <v>45645</v>
      </c>
      <c r="B26" t="s">
        <v>113</v>
      </c>
      <c r="C26">
        <v>29</v>
      </c>
      <c r="D26">
        <v>7.63</v>
      </c>
      <c r="E26">
        <v>3.8</v>
      </c>
      <c r="F26">
        <v>28.994</v>
      </c>
      <c r="G26">
        <v>6.0000000000002274E-3</v>
      </c>
      <c r="H26" t="s">
        <v>112</v>
      </c>
    </row>
    <row r="27" spans="1:8" x14ac:dyDescent="0.25">
      <c r="A27" s="64">
        <v>45645</v>
      </c>
      <c r="B27" t="s">
        <v>365</v>
      </c>
      <c r="C27">
        <v>39</v>
      </c>
      <c r="D27">
        <v>10.266</v>
      </c>
      <c r="E27">
        <v>3.8</v>
      </c>
      <c r="F27">
        <v>39.010799999999996</v>
      </c>
      <c r="G27">
        <v>-1.0799999999996146E-2</v>
      </c>
      <c r="H27" t="s">
        <v>210</v>
      </c>
    </row>
    <row r="28" spans="1:8" x14ac:dyDescent="0.25">
      <c r="A28" s="64">
        <v>45645</v>
      </c>
      <c r="B28" t="s">
        <v>341</v>
      </c>
      <c r="C28">
        <v>35</v>
      </c>
      <c r="D28">
        <v>9.26</v>
      </c>
      <c r="E28">
        <v>3.78</v>
      </c>
      <c r="F28">
        <v>35.002800000000001</v>
      </c>
      <c r="G28">
        <v>-2.8000000000005798E-3</v>
      </c>
      <c r="H28" t="s">
        <v>386</v>
      </c>
    </row>
    <row r="29" spans="1:8" x14ac:dyDescent="0.25">
      <c r="A29" s="64">
        <v>45645</v>
      </c>
      <c r="B29" t="s">
        <v>363</v>
      </c>
      <c r="C29">
        <v>39</v>
      </c>
      <c r="D29">
        <v>10.028</v>
      </c>
      <c r="E29">
        <v>3.89</v>
      </c>
      <c r="F29">
        <v>39.008920000000003</v>
      </c>
      <c r="G29">
        <v>-8.9200000000033697E-3</v>
      </c>
      <c r="H29" t="s">
        <v>204</v>
      </c>
    </row>
    <row r="30" spans="1:8" x14ac:dyDescent="0.25">
      <c r="A30" s="64">
        <v>45645</v>
      </c>
      <c r="B30" t="s">
        <v>348</v>
      </c>
      <c r="C30">
        <v>39</v>
      </c>
      <c r="D30">
        <v>10.542999999999999</v>
      </c>
      <c r="E30">
        <v>3.7</v>
      </c>
      <c r="F30">
        <v>39.009099999999997</v>
      </c>
      <c r="G30">
        <v>-9.0999999999965553E-3</v>
      </c>
      <c r="H30" t="s">
        <v>348</v>
      </c>
    </row>
    <row r="31" spans="1:8" x14ac:dyDescent="0.25">
      <c r="A31" s="64">
        <v>45645</v>
      </c>
      <c r="B31" t="s">
        <v>364</v>
      </c>
      <c r="C31">
        <v>29.14</v>
      </c>
      <c r="D31">
        <v>7.6710000000000003</v>
      </c>
      <c r="E31">
        <v>3.8</v>
      </c>
      <c r="F31">
        <v>29.149799999999999</v>
      </c>
      <c r="G31">
        <v>-9.7999999999984766E-3</v>
      </c>
      <c r="H31" t="s">
        <v>213</v>
      </c>
    </row>
    <row r="32" spans="1:8" x14ac:dyDescent="0.25">
      <c r="A32" s="64">
        <v>45645</v>
      </c>
      <c r="B32" t="s">
        <v>362</v>
      </c>
      <c r="C32">
        <v>22.03</v>
      </c>
      <c r="D32">
        <v>6.67</v>
      </c>
      <c r="E32">
        <v>3.3</v>
      </c>
      <c r="F32">
        <v>22.010999999999999</v>
      </c>
      <c r="G32">
        <v>1.9000000000001904E-2</v>
      </c>
      <c r="H32" t="s">
        <v>344</v>
      </c>
    </row>
    <row r="33" spans="1:8" x14ac:dyDescent="0.25">
      <c r="A33" s="64">
        <v>45646</v>
      </c>
      <c r="B33" t="s">
        <v>365</v>
      </c>
      <c r="C33">
        <v>37.51</v>
      </c>
      <c r="D33">
        <v>9.8740000000000006</v>
      </c>
      <c r="E33">
        <v>3.8</v>
      </c>
      <c r="F33">
        <v>37.5212</v>
      </c>
      <c r="G33">
        <v>-1.1200000000002319E-2</v>
      </c>
      <c r="H33" t="s">
        <v>210</v>
      </c>
    </row>
    <row r="34" spans="1:8" x14ac:dyDescent="0.25">
      <c r="A34" s="64">
        <v>45646</v>
      </c>
      <c r="B34" t="s">
        <v>113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112</v>
      </c>
    </row>
    <row r="35" spans="1:8" x14ac:dyDescent="0.25">
      <c r="A35" s="64">
        <v>45646</v>
      </c>
      <c r="B35" t="s">
        <v>345</v>
      </c>
      <c r="C35">
        <v>57.09</v>
      </c>
      <c r="D35">
        <v>15.11</v>
      </c>
      <c r="E35">
        <v>3.78</v>
      </c>
      <c r="F35">
        <v>57.115799999999993</v>
      </c>
      <c r="G35">
        <v>-2.5799999999989609E-2</v>
      </c>
      <c r="H35" t="s">
        <v>385</v>
      </c>
    </row>
    <row r="36" spans="1:8" x14ac:dyDescent="0.25">
      <c r="A36" s="64">
        <v>45646</v>
      </c>
      <c r="B36" t="s">
        <v>364</v>
      </c>
      <c r="C36">
        <v>23.47</v>
      </c>
      <c r="D36">
        <v>6.34</v>
      </c>
      <c r="E36">
        <v>3.7</v>
      </c>
      <c r="F36">
        <v>23.458000000000002</v>
      </c>
      <c r="G36">
        <v>1.1999999999996902E-2</v>
      </c>
      <c r="H36" t="s">
        <v>213</v>
      </c>
    </row>
    <row r="37" spans="1:8" x14ac:dyDescent="0.25">
      <c r="A37" s="64">
        <v>45646</v>
      </c>
      <c r="B37" t="s">
        <v>341</v>
      </c>
      <c r="C37">
        <v>35</v>
      </c>
      <c r="D37">
        <v>9.2100000000000009</v>
      </c>
      <c r="E37">
        <v>3.8</v>
      </c>
      <c r="F37">
        <v>34.998000000000005</v>
      </c>
      <c r="G37">
        <v>1.9999999999953388E-3</v>
      </c>
      <c r="H37" t="s">
        <v>386</v>
      </c>
    </row>
    <row r="38" spans="1:8" x14ac:dyDescent="0.25">
      <c r="A38" s="64">
        <v>45646</v>
      </c>
      <c r="B38" t="s">
        <v>363</v>
      </c>
      <c r="C38">
        <v>39</v>
      </c>
      <c r="D38">
        <v>9.9770000000000003</v>
      </c>
      <c r="E38">
        <v>3.91</v>
      </c>
      <c r="F38">
        <v>39.010070000000006</v>
      </c>
      <c r="G38">
        <v>-1.0070000000006019E-2</v>
      </c>
      <c r="H38" t="s">
        <v>204</v>
      </c>
    </row>
    <row r="39" spans="1:8" x14ac:dyDescent="0.25">
      <c r="A39" s="64">
        <v>45646</v>
      </c>
      <c r="B39" t="s">
        <v>348</v>
      </c>
      <c r="C39">
        <v>39</v>
      </c>
      <c r="D39">
        <v>12.23</v>
      </c>
      <c r="E39">
        <v>3.19</v>
      </c>
      <c r="F39">
        <v>39.0137</v>
      </c>
      <c r="G39">
        <v>-1.3700000000000045E-2</v>
      </c>
      <c r="H39" t="s">
        <v>348</v>
      </c>
    </row>
    <row r="40" spans="1:8" x14ac:dyDescent="0.25">
      <c r="A40" s="64">
        <v>45646</v>
      </c>
      <c r="B40" t="s">
        <v>362</v>
      </c>
      <c r="C40">
        <v>29</v>
      </c>
      <c r="D40">
        <v>8.7899999999999991</v>
      </c>
      <c r="E40">
        <v>3.3</v>
      </c>
      <c r="F40">
        <v>29.006999999999994</v>
      </c>
      <c r="G40">
        <v>-6.9999999999943441E-3</v>
      </c>
      <c r="H40" t="s">
        <v>344</v>
      </c>
    </row>
    <row r="41" spans="1:8" x14ac:dyDescent="0.25">
      <c r="A41" s="64">
        <v>45646</v>
      </c>
      <c r="B41" t="s">
        <v>366</v>
      </c>
      <c r="C41">
        <v>39</v>
      </c>
      <c r="D41">
        <v>10.266</v>
      </c>
      <c r="E41">
        <v>3.8</v>
      </c>
      <c r="F41">
        <v>39.010799999999996</v>
      </c>
      <c r="G41">
        <v>-1.0799999999996146E-2</v>
      </c>
      <c r="H41" t="s">
        <v>198</v>
      </c>
    </row>
    <row r="42" spans="1:8" x14ac:dyDescent="0.25">
      <c r="A42" s="64">
        <v>45647</v>
      </c>
      <c r="B42" t="s">
        <v>113</v>
      </c>
      <c r="C42">
        <v>29</v>
      </c>
      <c r="D42">
        <v>7.63</v>
      </c>
      <c r="E42">
        <v>3.8</v>
      </c>
      <c r="F42">
        <v>28.994</v>
      </c>
      <c r="G42">
        <v>6.0000000000002274E-3</v>
      </c>
      <c r="H42" t="s">
        <v>112</v>
      </c>
    </row>
    <row r="43" spans="1:8" x14ac:dyDescent="0.25">
      <c r="A43" s="64">
        <v>45649</v>
      </c>
      <c r="B43" t="s">
        <v>113</v>
      </c>
      <c r="C43">
        <v>29</v>
      </c>
      <c r="D43">
        <v>7.63</v>
      </c>
      <c r="E43">
        <v>3.8</v>
      </c>
      <c r="F43">
        <v>28.994</v>
      </c>
      <c r="G43">
        <v>6.0000000000002274E-3</v>
      </c>
      <c r="H43" t="s">
        <v>112</v>
      </c>
    </row>
    <row r="44" spans="1:8" x14ac:dyDescent="0.25">
      <c r="A44" s="64">
        <v>45649</v>
      </c>
      <c r="B44" t="s">
        <v>365</v>
      </c>
      <c r="C44">
        <v>39</v>
      </c>
      <c r="D44">
        <v>10.266</v>
      </c>
      <c r="E44">
        <v>3.8</v>
      </c>
      <c r="F44">
        <v>39.010799999999996</v>
      </c>
      <c r="G44">
        <v>-1.0799999999996146E-2</v>
      </c>
      <c r="H44" t="s">
        <v>210</v>
      </c>
    </row>
    <row r="45" spans="1:8" x14ac:dyDescent="0.25">
      <c r="A45" s="64">
        <v>45649</v>
      </c>
      <c r="B45" t="s">
        <v>364</v>
      </c>
      <c r="C45">
        <v>29.01</v>
      </c>
      <c r="D45">
        <v>7.4589999999999996</v>
      </c>
      <c r="E45">
        <v>3.89</v>
      </c>
      <c r="F45">
        <v>29.015509999999999</v>
      </c>
      <c r="G45">
        <v>-5.5099999999974614E-3</v>
      </c>
      <c r="H45" t="s">
        <v>213</v>
      </c>
    </row>
    <row r="46" spans="1:8" x14ac:dyDescent="0.25">
      <c r="A46" s="64">
        <v>45649</v>
      </c>
      <c r="B46" t="s">
        <v>341</v>
      </c>
      <c r="C46">
        <v>35</v>
      </c>
      <c r="D46">
        <v>9.36</v>
      </c>
      <c r="E46">
        <v>3.74</v>
      </c>
      <c r="F46">
        <v>35.006399999999999</v>
      </c>
      <c r="G46">
        <v>-6.3999999999992951E-3</v>
      </c>
      <c r="H46" t="s">
        <v>386</v>
      </c>
    </row>
    <row r="47" spans="1:8" x14ac:dyDescent="0.25">
      <c r="A47" s="64">
        <v>45649</v>
      </c>
      <c r="B47" t="s">
        <v>366</v>
      </c>
      <c r="C47">
        <v>39</v>
      </c>
      <c r="D47">
        <v>10</v>
      </c>
      <c r="E47">
        <v>3.9</v>
      </c>
      <c r="F47">
        <v>39</v>
      </c>
      <c r="G47">
        <v>0</v>
      </c>
      <c r="H47" t="s">
        <v>198</v>
      </c>
    </row>
    <row r="48" spans="1:8" x14ac:dyDescent="0.25">
      <c r="A48" s="64">
        <v>45649</v>
      </c>
      <c r="B48" t="s">
        <v>363</v>
      </c>
      <c r="C48">
        <v>39</v>
      </c>
      <c r="D48">
        <v>10.266</v>
      </c>
      <c r="E48">
        <v>3.8</v>
      </c>
      <c r="F48">
        <v>39.010799999999996</v>
      </c>
      <c r="G48">
        <v>-1.0799999999996146E-2</v>
      </c>
      <c r="H48" t="s">
        <v>204</v>
      </c>
    </row>
    <row r="49" spans="1:8" x14ac:dyDescent="0.25">
      <c r="A49" s="64">
        <v>45649</v>
      </c>
      <c r="B49" t="s">
        <v>348</v>
      </c>
      <c r="C49">
        <v>30</v>
      </c>
      <c r="D49">
        <v>8.11</v>
      </c>
      <c r="E49">
        <v>3.7</v>
      </c>
      <c r="F49">
        <v>30.006999999999998</v>
      </c>
      <c r="G49">
        <v>-6.9999999999978968E-3</v>
      </c>
      <c r="H49" t="s">
        <v>348</v>
      </c>
    </row>
    <row r="50" spans="1:8" x14ac:dyDescent="0.25">
      <c r="A50" s="64">
        <v>45649</v>
      </c>
      <c r="B50" t="s">
        <v>362</v>
      </c>
      <c r="C50">
        <v>27.2</v>
      </c>
      <c r="D50">
        <v>8.24</v>
      </c>
      <c r="E50">
        <v>3.3</v>
      </c>
      <c r="F50">
        <v>27.192</v>
      </c>
      <c r="G50">
        <v>7.9999999999991189E-3</v>
      </c>
      <c r="H50" t="s">
        <v>344</v>
      </c>
    </row>
    <row r="51" spans="1:8" x14ac:dyDescent="0.25">
      <c r="A51" s="64">
        <v>45650</v>
      </c>
      <c r="B51" t="s">
        <v>362</v>
      </c>
      <c r="C51">
        <v>18.88</v>
      </c>
      <c r="D51">
        <v>5.0999999999999996</v>
      </c>
      <c r="E51">
        <v>3.7</v>
      </c>
      <c r="F51">
        <v>18.87</v>
      </c>
      <c r="G51">
        <v>9.9999999999980105E-3</v>
      </c>
      <c r="H51" t="s">
        <v>344</v>
      </c>
    </row>
    <row r="52" spans="1:8" x14ac:dyDescent="0.25">
      <c r="A52" s="64">
        <v>45650</v>
      </c>
      <c r="B52" t="s">
        <v>348</v>
      </c>
      <c r="C52">
        <v>35.49</v>
      </c>
      <c r="D52">
        <v>11.129</v>
      </c>
      <c r="E52">
        <v>3.19</v>
      </c>
      <c r="F52">
        <v>35.501509999999996</v>
      </c>
      <c r="G52">
        <v>-1.1509999999994136E-2</v>
      </c>
      <c r="H52" t="s">
        <v>348</v>
      </c>
    </row>
    <row r="53" spans="1:8" x14ac:dyDescent="0.25">
      <c r="A53" s="64">
        <v>45650</v>
      </c>
      <c r="B53" t="s">
        <v>366</v>
      </c>
      <c r="C53">
        <v>39</v>
      </c>
      <c r="D53">
        <v>10.27</v>
      </c>
      <c r="E53">
        <v>3.8</v>
      </c>
      <c r="F53">
        <v>39.025999999999996</v>
      </c>
      <c r="G53">
        <v>-2.5999999999996248E-2</v>
      </c>
      <c r="H53" t="s">
        <v>198</v>
      </c>
    </row>
    <row r="54" spans="1:8" x14ac:dyDescent="0.25">
      <c r="A54" s="64">
        <v>45650</v>
      </c>
      <c r="B54" t="s">
        <v>363</v>
      </c>
      <c r="C54">
        <v>39</v>
      </c>
      <c r="D54">
        <v>10.266</v>
      </c>
      <c r="E54">
        <v>3.8</v>
      </c>
      <c r="F54">
        <v>39.010799999999996</v>
      </c>
      <c r="G54">
        <v>-1.0799999999996146E-2</v>
      </c>
      <c r="H54" t="s">
        <v>204</v>
      </c>
    </row>
    <row r="55" spans="1:8" x14ac:dyDescent="0.25">
      <c r="A55" s="64">
        <v>45650</v>
      </c>
      <c r="B55" t="s">
        <v>364</v>
      </c>
      <c r="C55">
        <v>20.53</v>
      </c>
      <c r="D55">
        <v>5.7</v>
      </c>
      <c r="E55">
        <v>3.6</v>
      </c>
      <c r="F55">
        <v>20.52</v>
      </c>
      <c r="G55">
        <v>1.0000000000001563E-2</v>
      </c>
      <c r="H55" t="s">
        <v>213</v>
      </c>
    </row>
    <row r="56" spans="1:8" x14ac:dyDescent="0.25">
      <c r="A56" s="64">
        <v>45650</v>
      </c>
      <c r="B56" t="s">
        <v>365</v>
      </c>
      <c r="C56">
        <v>34.53</v>
      </c>
      <c r="D56">
        <v>9.0879999999999992</v>
      </c>
      <c r="E56">
        <v>3.8</v>
      </c>
      <c r="F56">
        <v>34.534399999999998</v>
      </c>
      <c r="G56">
        <v>-4.3999999999968509E-3</v>
      </c>
      <c r="H56" t="s">
        <v>210</v>
      </c>
    </row>
    <row r="57" spans="1:8" x14ac:dyDescent="0.25">
      <c r="A57" s="64">
        <v>45650</v>
      </c>
      <c r="B57" t="s">
        <v>113</v>
      </c>
      <c r="C57">
        <v>29</v>
      </c>
      <c r="D57">
        <v>7.63</v>
      </c>
      <c r="E57">
        <v>3.8</v>
      </c>
      <c r="F57">
        <v>28.994</v>
      </c>
      <c r="G57">
        <v>6.0000000000002274E-3</v>
      </c>
      <c r="H57" t="s">
        <v>112</v>
      </c>
    </row>
    <row r="58" spans="1:8" x14ac:dyDescent="0.25">
      <c r="A58" s="64">
        <v>45650</v>
      </c>
      <c r="B58" t="s">
        <v>345</v>
      </c>
      <c r="C58">
        <v>57.27</v>
      </c>
      <c r="D58">
        <v>15.65</v>
      </c>
      <c r="E58">
        <v>3.66</v>
      </c>
      <c r="F58">
        <v>57.279000000000003</v>
      </c>
      <c r="G58">
        <v>-9.0000000000003411E-3</v>
      </c>
      <c r="H58" t="s">
        <v>385</v>
      </c>
    </row>
    <row r="59" spans="1:8" x14ac:dyDescent="0.25">
      <c r="A59" s="64">
        <v>45650</v>
      </c>
      <c r="B59" t="s">
        <v>341</v>
      </c>
      <c r="C59">
        <v>35.06</v>
      </c>
      <c r="D59">
        <v>9.1300000000000008</v>
      </c>
      <c r="E59">
        <v>3.84</v>
      </c>
      <c r="F59">
        <v>35.059200000000004</v>
      </c>
      <c r="G59">
        <v>7.9999999999813554E-4</v>
      </c>
      <c r="H59" t="s">
        <v>386</v>
      </c>
    </row>
    <row r="60" spans="1:8" x14ac:dyDescent="0.25">
      <c r="A60" s="64">
        <v>45652</v>
      </c>
      <c r="B60" t="s">
        <v>366</v>
      </c>
      <c r="C60">
        <v>38.68</v>
      </c>
      <c r="D60">
        <v>10.24</v>
      </c>
      <c r="E60">
        <v>3.78</v>
      </c>
      <c r="F60">
        <v>38.7072</v>
      </c>
      <c r="G60">
        <v>-2.7200000000000557E-2</v>
      </c>
      <c r="H60" t="s">
        <v>198</v>
      </c>
    </row>
    <row r="61" spans="1:8" x14ac:dyDescent="0.25">
      <c r="A61" s="64">
        <v>45652</v>
      </c>
      <c r="B61" t="s">
        <v>348</v>
      </c>
      <c r="C61">
        <v>23.2</v>
      </c>
      <c r="D61">
        <v>7.274</v>
      </c>
      <c r="E61">
        <v>3.19</v>
      </c>
      <c r="F61">
        <v>23.204059999999998</v>
      </c>
      <c r="G61">
        <v>-4.0599999999990644E-3</v>
      </c>
      <c r="H61" t="s">
        <v>348</v>
      </c>
    </row>
    <row r="62" spans="1:8" x14ac:dyDescent="0.25">
      <c r="A62" s="64">
        <v>45652</v>
      </c>
      <c r="B62" t="s">
        <v>365</v>
      </c>
      <c r="C62">
        <v>33.5</v>
      </c>
      <c r="D62">
        <v>8.8170000000000002</v>
      </c>
      <c r="E62">
        <v>3.8</v>
      </c>
      <c r="F62">
        <v>33.504599999999996</v>
      </c>
      <c r="G62">
        <v>-4.5999999999963848E-3</v>
      </c>
      <c r="H62" t="s">
        <v>210</v>
      </c>
    </row>
    <row r="63" spans="1:8" x14ac:dyDescent="0.25">
      <c r="A63" s="64">
        <v>45652</v>
      </c>
      <c r="B63" t="s">
        <v>113</v>
      </c>
      <c r="C63">
        <v>29</v>
      </c>
      <c r="D63">
        <v>7.63</v>
      </c>
      <c r="E63">
        <v>3.8</v>
      </c>
      <c r="F63">
        <v>28.994</v>
      </c>
      <c r="G63">
        <v>6.0000000000002274E-3</v>
      </c>
      <c r="H63" t="s">
        <v>112</v>
      </c>
    </row>
    <row r="64" spans="1:8" x14ac:dyDescent="0.25">
      <c r="A64" s="64">
        <v>45652</v>
      </c>
      <c r="B64" t="s">
        <v>341</v>
      </c>
      <c r="C64">
        <v>35</v>
      </c>
      <c r="D64">
        <v>9.1199999999999992</v>
      </c>
      <c r="E64">
        <v>3.84</v>
      </c>
      <c r="F64">
        <v>35.020799999999994</v>
      </c>
      <c r="G64">
        <v>-2.0799999999994156E-2</v>
      </c>
      <c r="H64" t="s">
        <v>386</v>
      </c>
    </row>
    <row r="65" spans="1:8" x14ac:dyDescent="0.25">
      <c r="A65" s="64">
        <v>45653</v>
      </c>
      <c r="B65" t="s">
        <v>345</v>
      </c>
      <c r="C65">
        <v>54.79</v>
      </c>
      <c r="D65">
        <v>14.811</v>
      </c>
      <c r="E65">
        <v>3.7</v>
      </c>
      <c r="F65">
        <v>54.800699999999999</v>
      </c>
      <c r="G65">
        <v>-1.0699999999999932E-2</v>
      </c>
      <c r="H65" t="s">
        <v>385</v>
      </c>
    </row>
    <row r="66" spans="1:8" x14ac:dyDescent="0.25">
      <c r="A66" s="64">
        <v>45653</v>
      </c>
      <c r="B66" t="s">
        <v>365</v>
      </c>
      <c r="C66">
        <v>38.01</v>
      </c>
      <c r="D66">
        <v>10.005000000000001</v>
      </c>
      <c r="E66">
        <v>3.8</v>
      </c>
      <c r="F66">
        <v>38.018999999999998</v>
      </c>
      <c r="G66">
        <v>-9.0000000000003411E-3</v>
      </c>
      <c r="H66" t="s">
        <v>210</v>
      </c>
    </row>
    <row r="67" spans="1:8" x14ac:dyDescent="0.25">
      <c r="A67" s="64">
        <v>45653</v>
      </c>
      <c r="B67" t="s">
        <v>363</v>
      </c>
      <c r="C67">
        <v>39</v>
      </c>
      <c r="D67">
        <v>10.265000000000001</v>
      </c>
      <c r="E67">
        <v>3.8</v>
      </c>
      <c r="F67">
        <v>39.006999999999998</v>
      </c>
      <c r="G67">
        <v>-6.9999999999978968E-3</v>
      </c>
      <c r="H67" t="s">
        <v>204</v>
      </c>
    </row>
    <row r="68" spans="1:8" x14ac:dyDescent="0.25">
      <c r="A68" s="64">
        <v>45653</v>
      </c>
      <c r="B68" t="s">
        <v>366</v>
      </c>
      <c r="C68">
        <v>39</v>
      </c>
      <c r="D68">
        <v>10.32</v>
      </c>
      <c r="E68">
        <v>3.78</v>
      </c>
      <c r="F68">
        <v>39.009599999999999</v>
      </c>
      <c r="G68">
        <v>-9.5999999999989427E-3</v>
      </c>
      <c r="H68" t="s">
        <v>198</v>
      </c>
    </row>
    <row r="69" spans="1:8" x14ac:dyDescent="0.25">
      <c r="A69" s="64">
        <v>45653</v>
      </c>
      <c r="B69" t="s">
        <v>113</v>
      </c>
      <c r="C69">
        <v>29</v>
      </c>
      <c r="D69">
        <v>7.71</v>
      </c>
      <c r="E69">
        <v>3.76</v>
      </c>
      <c r="F69">
        <v>28.989599999999999</v>
      </c>
      <c r="G69">
        <v>1.0400000000000631E-2</v>
      </c>
      <c r="H69" t="s">
        <v>112</v>
      </c>
    </row>
    <row r="70" spans="1:8" x14ac:dyDescent="0.25">
      <c r="A70" s="64">
        <v>45653</v>
      </c>
      <c r="B70" t="s">
        <v>341</v>
      </c>
      <c r="C70">
        <v>24</v>
      </c>
      <c r="D70">
        <v>6.25</v>
      </c>
      <c r="E70">
        <v>3.84</v>
      </c>
      <c r="F70">
        <v>24</v>
      </c>
      <c r="G70">
        <v>0</v>
      </c>
      <c r="H70" t="s">
        <v>386</v>
      </c>
    </row>
    <row r="71" spans="1:8" x14ac:dyDescent="0.25">
      <c r="A71" s="64">
        <v>45654</v>
      </c>
      <c r="B71" t="s">
        <v>113</v>
      </c>
      <c r="C71">
        <v>29</v>
      </c>
      <c r="D71">
        <v>7.71</v>
      </c>
      <c r="E71">
        <v>3.76</v>
      </c>
      <c r="F71">
        <v>28.989599999999999</v>
      </c>
      <c r="G71">
        <v>1.0400000000000631E-2</v>
      </c>
      <c r="H71" t="s">
        <v>112</v>
      </c>
    </row>
    <row r="72" spans="1:8" x14ac:dyDescent="0.25">
      <c r="A72" s="64">
        <v>45654</v>
      </c>
      <c r="B72" t="s">
        <v>341</v>
      </c>
      <c r="C72">
        <v>31</v>
      </c>
      <c r="D72">
        <v>8.0299999999999994</v>
      </c>
      <c r="E72">
        <v>3.86</v>
      </c>
      <c r="F72">
        <v>30.995799999999996</v>
      </c>
      <c r="G72">
        <v>4.2000000000044224E-3</v>
      </c>
      <c r="H72" t="s">
        <v>386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2"/>
  <sheetViews>
    <sheetView showGridLines="0" workbookViewId="0">
      <selection activeCell="B12" sqref="B12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10" x14ac:dyDescent="0.25">
      <c r="A2" s="64">
        <v>45642</v>
      </c>
      <c r="B2" t="s">
        <v>51</v>
      </c>
      <c r="C2">
        <v>27</v>
      </c>
      <c r="D2">
        <v>6.46</v>
      </c>
      <c r="E2">
        <v>4.18</v>
      </c>
      <c r="F2">
        <v>27.002799999999997</v>
      </c>
      <c r="G2">
        <v>-2.7999999999970271E-3</v>
      </c>
      <c r="J2" s="220" t="s">
        <v>294</v>
      </c>
    </row>
    <row r="3" spans="1:10" x14ac:dyDescent="0.25">
      <c r="A3" s="64">
        <v>45644</v>
      </c>
      <c r="B3" t="s">
        <v>116</v>
      </c>
      <c r="C3">
        <v>30.8</v>
      </c>
      <c r="D3">
        <v>7.7</v>
      </c>
      <c r="E3">
        <v>4</v>
      </c>
      <c r="F3">
        <v>30.8</v>
      </c>
      <c r="G3">
        <v>0</v>
      </c>
      <c r="J3" s="220"/>
    </row>
    <row r="4" spans="1:10" x14ac:dyDescent="0.25">
      <c r="A4" s="64">
        <v>45646</v>
      </c>
      <c r="B4" t="s">
        <v>116</v>
      </c>
      <c r="C4">
        <v>31.16</v>
      </c>
      <c r="D4">
        <v>8.51</v>
      </c>
      <c r="E4">
        <v>3.66</v>
      </c>
      <c r="F4">
        <v>31.146599999999999</v>
      </c>
      <c r="G4">
        <v>1.3400000000000745E-2</v>
      </c>
      <c r="J4" s="220"/>
    </row>
    <row r="5" spans="1:10" x14ac:dyDescent="0.25">
      <c r="A5" s="64">
        <v>45647</v>
      </c>
      <c r="B5" t="s">
        <v>367</v>
      </c>
      <c r="C5">
        <v>36.08</v>
      </c>
      <c r="D5">
        <v>9.59</v>
      </c>
      <c r="E5">
        <v>3.76</v>
      </c>
      <c r="F5">
        <v>36.058399999999999</v>
      </c>
      <c r="G5">
        <v>2.1599999999999397E-2</v>
      </c>
      <c r="J5" s="220"/>
    </row>
    <row r="6" spans="1:10" x14ac:dyDescent="0.25">
      <c r="A6" s="64">
        <v>45648</v>
      </c>
      <c r="B6" t="s">
        <v>367</v>
      </c>
      <c r="C6">
        <v>37</v>
      </c>
      <c r="D6">
        <v>9.84</v>
      </c>
      <c r="E6">
        <v>3.76</v>
      </c>
      <c r="F6">
        <v>36.998399999999997</v>
      </c>
      <c r="G6">
        <v>1.6000000000033765E-3</v>
      </c>
      <c r="J6" s="220"/>
    </row>
    <row r="7" spans="1:10" x14ac:dyDescent="0.25">
      <c r="A7" s="64">
        <v>45649</v>
      </c>
      <c r="B7" t="s">
        <v>116</v>
      </c>
      <c r="C7">
        <v>23.87</v>
      </c>
      <c r="D7">
        <v>5.97</v>
      </c>
      <c r="E7">
        <v>4</v>
      </c>
      <c r="F7">
        <v>23.88</v>
      </c>
      <c r="G7">
        <v>-9.9999999999980105E-3</v>
      </c>
      <c r="J7" s="220"/>
    </row>
    <row r="8" spans="1:10" x14ac:dyDescent="0.25">
      <c r="A8" s="64">
        <v>45649</v>
      </c>
      <c r="B8" t="s">
        <v>51</v>
      </c>
      <c r="C8">
        <v>39</v>
      </c>
      <c r="D8">
        <v>10.38</v>
      </c>
      <c r="E8">
        <v>3.76</v>
      </c>
      <c r="F8">
        <v>39.028800000000004</v>
      </c>
      <c r="G8">
        <v>-2.8800000000003934E-2</v>
      </c>
      <c r="J8" s="220"/>
    </row>
    <row r="9" spans="1:10" x14ac:dyDescent="0.25">
      <c r="A9" s="64">
        <v>45652</v>
      </c>
      <c r="B9" t="s">
        <v>338</v>
      </c>
      <c r="C9">
        <v>27.14</v>
      </c>
      <c r="D9">
        <v>7.22</v>
      </c>
      <c r="E9">
        <v>3.76</v>
      </c>
      <c r="F9">
        <v>27.147199999999998</v>
      </c>
      <c r="G9">
        <v>-7.1999999999974307E-3</v>
      </c>
      <c r="J9" s="220"/>
    </row>
    <row r="10" spans="1:10" x14ac:dyDescent="0.25">
      <c r="A10" s="64">
        <v>45653</v>
      </c>
      <c r="B10" t="s">
        <v>116</v>
      </c>
      <c r="C10">
        <v>37</v>
      </c>
      <c r="D10">
        <v>9.07</v>
      </c>
      <c r="E10">
        <v>4.08</v>
      </c>
      <c r="F10">
        <v>37.005600000000001</v>
      </c>
      <c r="G10">
        <v>-5.6000000000011596E-3</v>
      </c>
    </row>
    <row r="11" spans="1:10" x14ac:dyDescent="0.25">
      <c r="A11" s="64">
        <v>45655</v>
      </c>
      <c r="B11" t="s">
        <v>367</v>
      </c>
      <c r="C11">
        <v>24.01</v>
      </c>
      <c r="D11">
        <v>6.49</v>
      </c>
      <c r="E11">
        <v>3.7</v>
      </c>
      <c r="F11">
        <v>24.013000000000002</v>
      </c>
      <c r="G11">
        <v>-3.0000000000001137E-3</v>
      </c>
    </row>
    <row r="12" spans="1:10" x14ac:dyDescent="0.25">
      <c r="A12" s="64">
        <v>45655</v>
      </c>
      <c r="B12" t="s">
        <v>51</v>
      </c>
      <c r="C12">
        <v>39</v>
      </c>
      <c r="D12">
        <v>9.56</v>
      </c>
      <c r="E12">
        <v>4.08</v>
      </c>
      <c r="F12">
        <v>39.004800000000003</v>
      </c>
      <c r="G12">
        <v>-4.8000000000030241E-3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01"/>
  <sheetViews>
    <sheetView workbookViewId="0">
      <selection sqref="A1:I132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102</v>
      </c>
      <c r="C1" t="s">
        <v>103</v>
      </c>
      <c r="D1" t="s">
        <v>214</v>
      </c>
      <c r="E1" t="s">
        <v>295</v>
      </c>
      <c r="F1" t="s">
        <v>296</v>
      </c>
      <c r="G1" t="s">
        <v>297</v>
      </c>
      <c r="H1" t="s">
        <v>298</v>
      </c>
      <c r="I1" t="s">
        <v>11</v>
      </c>
    </row>
    <row r="2" spans="1:9" x14ac:dyDescent="0.25">
      <c r="A2" s="64">
        <v>45642</v>
      </c>
      <c r="B2" t="s">
        <v>213</v>
      </c>
      <c r="C2" t="s">
        <v>212</v>
      </c>
      <c r="D2" t="s">
        <v>211</v>
      </c>
      <c r="E2">
        <v>96.995999999999995</v>
      </c>
      <c r="F2">
        <v>3.6469999999999998</v>
      </c>
      <c r="G2">
        <v>5.1050526315789471</v>
      </c>
      <c r="H2">
        <v>18.618099999999998</v>
      </c>
      <c r="I2" t="s">
        <v>14</v>
      </c>
    </row>
    <row r="3" spans="1:9" x14ac:dyDescent="0.25">
      <c r="A3" s="64">
        <v>45642</v>
      </c>
      <c r="B3" t="s">
        <v>201</v>
      </c>
      <c r="C3" t="s">
        <v>200</v>
      </c>
      <c r="D3" t="s">
        <v>199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45642</v>
      </c>
      <c r="B4" t="s">
        <v>348</v>
      </c>
      <c r="C4" t="s">
        <v>381</v>
      </c>
      <c r="D4" t="s">
        <v>350</v>
      </c>
      <c r="E4">
        <v>75.522000000000006</v>
      </c>
      <c r="F4">
        <v>3.6469999999999998</v>
      </c>
      <c r="G4">
        <v>3.9748421052631584</v>
      </c>
      <c r="H4">
        <v>14.4962</v>
      </c>
      <c r="I4" t="s">
        <v>14</v>
      </c>
    </row>
    <row r="5" spans="1:9" x14ac:dyDescent="0.25">
      <c r="A5" s="64">
        <v>45642</v>
      </c>
      <c r="B5" t="s">
        <v>112</v>
      </c>
      <c r="C5" t="s">
        <v>192</v>
      </c>
      <c r="D5" t="s">
        <v>191</v>
      </c>
      <c r="E5">
        <v>113.072</v>
      </c>
      <c r="F5">
        <v>3.6469999999999998</v>
      </c>
      <c r="G5">
        <v>5.9511578947368422</v>
      </c>
      <c r="H5">
        <v>21.703900000000001</v>
      </c>
      <c r="I5" t="s">
        <v>14</v>
      </c>
    </row>
    <row r="6" spans="1:9" x14ac:dyDescent="0.25">
      <c r="A6" s="64">
        <v>45642</v>
      </c>
      <c r="B6" t="s">
        <v>204</v>
      </c>
      <c r="C6" t="s">
        <v>203</v>
      </c>
      <c r="D6" t="s">
        <v>202</v>
      </c>
      <c r="E6">
        <v>140.654</v>
      </c>
      <c r="F6">
        <v>3.6469999999999998</v>
      </c>
      <c r="G6">
        <v>7.4028421052631579</v>
      </c>
      <c r="H6">
        <v>26.998200000000001</v>
      </c>
      <c r="I6" t="s">
        <v>14</v>
      </c>
    </row>
    <row r="7" spans="1:9" x14ac:dyDescent="0.25">
      <c r="A7" s="64">
        <v>45642</v>
      </c>
      <c r="B7" t="s">
        <v>210</v>
      </c>
      <c r="C7" t="s">
        <v>209</v>
      </c>
      <c r="D7" t="s">
        <v>208</v>
      </c>
      <c r="E7">
        <v>149.024</v>
      </c>
      <c r="F7">
        <v>3.6469999999999998</v>
      </c>
      <c r="G7">
        <v>7.8433684210526318</v>
      </c>
      <c r="H7">
        <v>28.604800000000001</v>
      </c>
      <c r="I7" t="s">
        <v>14</v>
      </c>
    </row>
    <row r="8" spans="1:9" x14ac:dyDescent="0.25">
      <c r="A8" s="64">
        <v>45642</v>
      </c>
      <c r="B8" t="s">
        <v>198</v>
      </c>
      <c r="C8" t="s">
        <v>197</v>
      </c>
      <c r="D8" t="s">
        <v>196</v>
      </c>
      <c r="E8">
        <v>95.614000000000004</v>
      </c>
      <c r="F8">
        <v>3.6469999999999998</v>
      </c>
      <c r="G8">
        <v>5.0323157894736843</v>
      </c>
      <c r="H8">
        <v>18.352900000000002</v>
      </c>
      <c r="I8" t="s">
        <v>14</v>
      </c>
    </row>
    <row r="9" spans="1:9" x14ac:dyDescent="0.25">
      <c r="A9" s="64">
        <v>45642</v>
      </c>
      <c r="B9" t="s">
        <v>385</v>
      </c>
      <c r="C9" t="s">
        <v>339</v>
      </c>
      <c r="D9" t="s">
        <v>253</v>
      </c>
      <c r="E9">
        <v>111.532</v>
      </c>
      <c r="F9">
        <v>3.6469999999999998</v>
      </c>
      <c r="G9">
        <v>5.8701052631578943</v>
      </c>
      <c r="H9">
        <v>21.408300000000001</v>
      </c>
      <c r="I9" t="s">
        <v>14</v>
      </c>
    </row>
    <row r="10" spans="1:9" x14ac:dyDescent="0.25">
      <c r="A10" s="64">
        <v>45642</v>
      </c>
      <c r="B10" t="s">
        <v>344</v>
      </c>
      <c r="C10" t="s">
        <v>206</v>
      </c>
      <c r="D10" t="s">
        <v>205</v>
      </c>
      <c r="E10">
        <v>134.453</v>
      </c>
      <c r="F10">
        <v>3.6469999999999998</v>
      </c>
      <c r="G10">
        <v>7.0764736842105265</v>
      </c>
      <c r="H10">
        <v>25.8079</v>
      </c>
      <c r="I10" t="s">
        <v>14</v>
      </c>
    </row>
    <row r="11" spans="1:9" x14ac:dyDescent="0.25">
      <c r="A11" s="64">
        <v>45642</v>
      </c>
      <c r="B11" t="s">
        <v>386</v>
      </c>
      <c r="C11" t="s">
        <v>340</v>
      </c>
      <c r="D11" t="s">
        <v>252</v>
      </c>
      <c r="E11">
        <v>114.383</v>
      </c>
      <c r="F11">
        <v>3.6469999999999998</v>
      </c>
      <c r="G11">
        <v>6.0201578947368422</v>
      </c>
      <c r="H11">
        <v>21.955500000000001</v>
      </c>
      <c r="I11" t="s">
        <v>14</v>
      </c>
    </row>
    <row r="12" spans="1:9" x14ac:dyDescent="0.25">
      <c r="A12" s="64">
        <v>45642</v>
      </c>
      <c r="B12" t="s">
        <v>195</v>
      </c>
      <c r="C12" t="s">
        <v>194</v>
      </c>
      <c r="D12" t="s">
        <v>193</v>
      </c>
      <c r="E12">
        <v>103.592</v>
      </c>
      <c r="F12">
        <v>3.6469999999999998</v>
      </c>
      <c r="G12">
        <v>5.4522105263157892</v>
      </c>
      <c r="H12">
        <v>19.8842</v>
      </c>
      <c r="I12" t="s">
        <v>14</v>
      </c>
    </row>
    <row r="13" spans="1:9" x14ac:dyDescent="0.25">
      <c r="A13" s="64">
        <v>45643</v>
      </c>
      <c r="B13" t="s">
        <v>213</v>
      </c>
      <c r="C13" t="s">
        <v>212</v>
      </c>
      <c r="D13" t="s">
        <v>211</v>
      </c>
      <c r="E13">
        <v>126.336</v>
      </c>
      <c r="F13">
        <v>3.6469999999999998</v>
      </c>
      <c r="G13">
        <v>6.6492631578947368</v>
      </c>
      <c r="H13">
        <v>24.2499</v>
      </c>
      <c r="I13" t="s">
        <v>14</v>
      </c>
    </row>
    <row r="14" spans="1:9" x14ac:dyDescent="0.25">
      <c r="A14" s="64">
        <v>45643</v>
      </c>
      <c r="B14" t="s">
        <v>201</v>
      </c>
      <c r="C14" t="s">
        <v>200</v>
      </c>
      <c r="D14" t="s">
        <v>199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45643</v>
      </c>
      <c r="B15" t="s">
        <v>348</v>
      </c>
      <c r="C15" t="s">
        <v>381</v>
      </c>
      <c r="D15" t="s">
        <v>350</v>
      </c>
      <c r="E15">
        <v>99.388999999999996</v>
      </c>
      <c r="F15">
        <v>3.6469999999999998</v>
      </c>
      <c r="G15">
        <v>5.2309999999999999</v>
      </c>
      <c r="H15">
        <v>19.077500000000001</v>
      </c>
      <c r="I15" t="s">
        <v>14</v>
      </c>
    </row>
    <row r="16" spans="1:9" x14ac:dyDescent="0.25">
      <c r="A16" s="64">
        <v>45643</v>
      </c>
      <c r="B16" t="s">
        <v>112</v>
      </c>
      <c r="C16" t="s">
        <v>192</v>
      </c>
      <c r="D16" t="s">
        <v>191</v>
      </c>
      <c r="E16">
        <v>144.02600000000001</v>
      </c>
      <c r="F16">
        <v>3.6469999999999998</v>
      </c>
      <c r="G16">
        <v>7.5803157894736843</v>
      </c>
      <c r="H16">
        <v>27.645399999999999</v>
      </c>
      <c r="I16" t="s">
        <v>14</v>
      </c>
    </row>
    <row r="17" spans="1:9" x14ac:dyDescent="0.25">
      <c r="A17" s="64">
        <v>45643</v>
      </c>
      <c r="B17" t="s">
        <v>204</v>
      </c>
      <c r="C17" t="s">
        <v>203</v>
      </c>
      <c r="D17" t="s">
        <v>202</v>
      </c>
      <c r="E17">
        <v>98.076999999999998</v>
      </c>
      <c r="F17">
        <v>3.6469999999999998</v>
      </c>
      <c r="G17">
        <v>5.1619473684210524</v>
      </c>
      <c r="H17">
        <v>18.825600000000001</v>
      </c>
      <c r="I17" t="s">
        <v>14</v>
      </c>
    </row>
    <row r="18" spans="1:9" x14ac:dyDescent="0.25">
      <c r="A18" s="64">
        <v>45643</v>
      </c>
      <c r="B18" t="s">
        <v>210</v>
      </c>
      <c r="C18" t="s">
        <v>209</v>
      </c>
      <c r="D18" t="s">
        <v>208</v>
      </c>
      <c r="E18">
        <v>134.75299999999999</v>
      </c>
      <c r="F18">
        <v>3.6469999999999998</v>
      </c>
      <c r="G18">
        <v>7.0922631578947364</v>
      </c>
      <c r="H18">
        <v>25.865500000000001</v>
      </c>
      <c r="I18" t="s">
        <v>14</v>
      </c>
    </row>
    <row r="19" spans="1:9" x14ac:dyDescent="0.25">
      <c r="A19" s="64">
        <v>45643</v>
      </c>
      <c r="B19" t="s">
        <v>198</v>
      </c>
      <c r="C19" t="s">
        <v>197</v>
      </c>
      <c r="D19" t="s">
        <v>196</v>
      </c>
      <c r="E19">
        <v>114.233</v>
      </c>
      <c r="F19">
        <v>3.6469999999999998</v>
      </c>
      <c r="G19">
        <v>6.0122631578947372</v>
      </c>
      <c r="H19">
        <v>21.9267</v>
      </c>
      <c r="I19" t="s">
        <v>14</v>
      </c>
    </row>
    <row r="20" spans="1:9" x14ac:dyDescent="0.25">
      <c r="A20" s="64">
        <v>45643</v>
      </c>
      <c r="B20" t="s">
        <v>385</v>
      </c>
      <c r="C20" t="s">
        <v>339</v>
      </c>
      <c r="D20" t="s">
        <v>253</v>
      </c>
      <c r="E20">
        <v>119.911</v>
      </c>
      <c r="F20">
        <v>3.6469999999999998</v>
      </c>
      <c r="G20">
        <v>6.311105263157895</v>
      </c>
      <c r="H20">
        <v>23.0166</v>
      </c>
      <c r="I20" t="s">
        <v>14</v>
      </c>
    </row>
    <row r="21" spans="1:9" x14ac:dyDescent="0.25">
      <c r="A21" s="64">
        <v>45643</v>
      </c>
      <c r="B21" t="s">
        <v>344</v>
      </c>
      <c r="C21" t="s">
        <v>206</v>
      </c>
      <c r="D21" t="s">
        <v>205</v>
      </c>
      <c r="E21">
        <v>139.94200000000001</v>
      </c>
      <c r="F21">
        <v>3.6469999999999998</v>
      </c>
      <c r="G21">
        <v>7.365368421052632</v>
      </c>
      <c r="H21">
        <v>26.861499999999999</v>
      </c>
      <c r="I21" t="s">
        <v>14</v>
      </c>
    </row>
    <row r="22" spans="1:9" x14ac:dyDescent="0.25">
      <c r="A22" s="64">
        <v>45643</v>
      </c>
      <c r="B22" t="s">
        <v>386</v>
      </c>
      <c r="C22" t="s">
        <v>340</v>
      </c>
      <c r="D22" t="s">
        <v>252</v>
      </c>
      <c r="E22">
        <v>114.944</v>
      </c>
      <c r="F22">
        <v>3.6469999999999998</v>
      </c>
      <c r="G22">
        <v>6.0496842105263156</v>
      </c>
      <c r="H22">
        <v>22.063199999999998</v>
      </c>
      <c r="I22" t="s">
        <v>14</v>
      </c>
    </row>
    <row r="23" spans="1:9" x14ac:dyDescent="0.25">
      <c r="A23" s="64">
        <v>45643</v>
      </c>
      <c r="B23" t="s">
        <v>195</v>
      </c>
      <c r="C23" t="s">
        <v>194</v>
      </c>
      <c r="D23" t="s">
        <v>193</v>
      </c>
      <c r="E23">
        <v>36.533000000000001</v>
      </c>
      <c r="F23">
        <v>3.6469999999999998</v>
      </c>
      <c r="G23">
        <v>1.9227894736842106</v>
      </c>
      <c r="H23">
        <v>7.0124000000000004</v>
      </c>
      <c r="I23" t="s">
        <v>14</v>
      </c>
    </row>
    <row r="24" spans="1:9" x14ac:dyDescent="0.25">
      <c r="A24" s="64">
        <v>45644</v>
      </c>
      <c r="B24" t="s">
        <v>213</v>
      </c>
      <c r="C24" t="s">
        <v>212</v>
      </c>
      <c r="D24" t="s">
        <v>211</v>
      </c>
      <c r="E24">
        <v>109.312</v>
      </c>
      <c r="F24">
        <v>3.6469999999999998</v>
      </c>
      <c r="G24">
        <v>5.7532631578947369</v>
      </c>
      <c r="H24">
        <v>20.982199999999999</v>
      </c>
      <c r="I24" t="s">
        <v>14</v>
      </c>
    </row>
    <row r="25" spans="1:9" x14ac:dyDescent="0.25">
      <c r="A25" s="64">
        <v>45644</v>
      </c>
      <c r="B25" t="s">
        <v>201</v>
      </c>
      <c r="C25" t="s">
        <v>200</v>
      </c>
      <c r="D25" t="s">
        <v>199</v>
      </c>
      <c r="E25">
        <v>0</v>
      </c>
      <c r="F25">
        <v>3.6469999999999998</v>
      </c>
      <c r="G25">
        <v>0</v>
      </c>
      <c r="H25">
        <v>0</v>
      </c>
      <c r="I25" t="s">
        <v>14</v>
      </c>
    </row>
    <row r="26" spans="1:9" x14ac:dyDescent="0.25">
      <c r="A26" s="64">
        <v>45644</v>
      </c>
      <c r="B26" t="s">
        <v>348</v>
      </c>
      <c r="C26" t="s">
        <v>381</v>
      </c>
      <c r="D26" t="s">
        <v>350</v>
      </c>
      <c r="E26">
        <v>132.70099999999999</v>
      </c>
      <c r="F26">
        <v>3.6469999999999998</v>
      </c>
      <c r="G26">
        <v>6.9842631578947367</v>
      </c>
      <c r="H26">
        <v>25.471599999999999</v>
      </c>
      <c r="I26" t="s">
        <v>14</v>
      </c>
    </row>
    <row r="27" spans="1:9" x14ac:dyDescent="0.25">
      <c r="A27" s="64">
        <v>45644</v>
      </c>
      <c r="B27" t="s">
        <v>112</v>
      </c>
      <c r="C27" t="s">
        <v>192</v>
      </c>
      <c r="D27" t="s">
        <v>191</v>
      </c>
      <c r="E27">
        <v>117.979</v>
      </c>
      <c r="F27">
        <v>3.6469999999999998</v>
      </c>
      <c r="G27">
        <v>6.209421052631579</v>
      </c>
      <c r="H27">
        <v>22.645800000000001</v>
      </c>
      <c r="I27" t="s">
        <v>14</v>
      </c>
    </row>
    <row r="28" spans="1:9" x14ac:dyDescent="0.25">
      <c r="A28" s="64">
        <v>45644</v>
      </c>
      <c r="B28" t="s">
        <v>204</v>
      </c>
      <c r="C28" t="s">
        <v>203</v>
      </c>
      <c r="D28" t="s">
        <v>202</v>
      </c>
      <c r="E28">
        <v>117.212</v>
      </c>
      <c r="F28">
        <v>3.6469999999999998</v>
      </c>
      <c r="G28">
        <v>6.1690526315789471</v>
      </c>
      <c r="H28">
        <v>22.4985</v>
      </c>
      <c r="I28" t="s">
        <v>14</v>
      </c>
    </row>
    <row r="29" spans="1:9" x14ac:dyDescent="0.25">
      <c r="A29" s="64">
        <v>45644</v>
      </c>
      <c r="B29" t="s">
        <v>210</v>
      </c>
      <c r="C29" t="s">
        <v>209</v>
      </c>
      <c r="D29" t="s">
        <v>208</v>
      </c>
      <c r="E29">
        <v>113.286</v>
      </c>
      <c r="F29">
        <v>3.6469999999999998</v>
      </c>
      <c r="G29">
        <v>5.9624210526315791</v>
      </c>
      <c r="H29">
        <v>21.744900000000001</v>
      </c>
      <c r="I29" t="s">
        <v>14</v>
      </c>
    </row>
    <row r="30" spans="1:9" x14ac:dyDescent="0.25">
      <c r="A30" s="64">
        <v>45644</v>
      </c>
      <c r="B30" t="s">
        <v>198</v>
      </c>
      <c r="C30" t="s">
        <v>197</v>
      </c>
      <c r="D30" t="s">
        <v>196</v>
      </c>
      <c r="E30">
        <v>112.974</v>
      </c>
      <c r="F30">
        <v>3.6469999999999998</v>
      </c>
      <c r="G30">
        <v>5.9460000000000006</v>
      </c>
      <c r="H30">
        <v>21.685099999999998</v>
      </c>
      <c r="I30" t="s">
        <v>14</v>
      </c>
    </row>
    <row r="31" spans="1:9" x14ac:dyDescent="0.25">
      <c r="A31" s="64">
        <v>45644</v>
      </c>
      <c r="B31" t="s">
        <v>385</v>
      </c>
      <c r="C31" t="s">
        <v>339</v>
      </c>
      <c r="D31" t="s">
        <v>253</v>
      </c>
      <c r="E31">
        <v>142.977</v>
      </c>
      <c r="F31">
        <v>3.6469999999999998</v>
      </c>
      <c r="G31">
        <v>7.5251052631578945</v>
      </c>
      <c r="H31">
        <v>27.444099999999999</v>
      </c>
      <c r="I31" t="s">
        <v>14</v>
      </c>
    </row>
    <row r="32" spans="1:9" x14ac:dyDescent="0.25">
      <c r="A32" s="64">
        <v>45644</v>
      </c>
      <c r="B32" t="s">
        <v>344</v>
      </c>
      <c r="C32" t="s">
        <v>206</v>
      </c>
      <c r="D32" t="s">
        <v>205</v>
      </c>
      <c r="E32">
        <v>96.42</v>
      </c>
      <c r="F32">
        <v>3.6469999999999998</v>
      </c>
      <c r="G32">
        <v>5.0747368421052634</v>
      </c>
      <c r="H32">
        <v>18.5076</v>
      </c>
      <c r="I32" t="s">
        <v>14</v>
      </c>
    </row>
    <row r="33" spans="1:9" x14ac:dyDescent="0.25">
      <c r="A33" s="64">
        <v>45644</v>
      </c>
      <c r="B33" t="s">
        <v>386</v>
      </c>
      <c r="C33" t="s">
        <v>340</v>
      </c>
      <c r="D33" t="s">
        <v>252</v>
      </c>
      <c r="E33">
        <v>131.13200000000001</v>
      </c>
      <c r="F33">
        <v>3.6469999999999998</v>
      </c>
      <c r="G33">
        <v>6.9016842105263159</v>
      </c>
      <c r="H33">
        <v>25.170400000000001</v>
      </c>
      <c r="I33" t="s">
        <v>14</v>
      </c>
    </row>
    <row r="34" spans="1:9" x14ac:dyDescent="0.25">
      <c r="A34" s="64">
        <v>45644</v>
      </c>
      <c r="B34" t="s">
        <v>195</v>
      </c>
      <c r="C34" t="s">
        <v>194</v>
      </c>
      <c r="D34" t="s">
        <v>193</v>
      </c>
      <c r="E34">
        <v>0</v>
      </c>
      <c r="F34">
        <v>3.6469999999999998</v>
      </c>
      <c r="G34">
        <v>0</v>
      </c>
      <c r="H34">
        <v>0</v>
      </c>
      <c r="I34" t="s">
        <v>14</v>
      </c>
    </row>
    <row r="35" spans="1:9" x14ac:dyDescent="0.25">
      <c r="A35" s="64">
        <v>45645</v>
      </c>
      <c r="B35" t="s">
        <v>213</v>
      </c>
      <c r="C35" t="s">
        <v>212</v>
      </c>
      <c r="D35" t="s">
        <v>211</v>
      </c>
      <c r="E35">
        <v>125.36499999999999</v>
      </c>
      <c r="F35">
        <v>3.6469999999999998</v>
      </c>
      <c r="G35">
        <v>6.5981578947368416</v>
      </c>
      <c r="H35">
        <v>24.063500000000001</v>
      </c>
      <c r="I35" t="s">
        <v>14</v>
      </c>
    </row>
    <row r="36" spans="1:9" x14ac:dyDescent="0.25">
      <c r="A36" s="64">
        <v>45645</v>
      </c>
      <c r="B36" t="s">
        <v>201</v>
      </c>
      <c r="C36" t="s">
        <v>200</v>
      </c>
      <c r="D36" t="s">
        <v>199</v>
      </c>
      <c r="E36">
        <v>0</v>
      </c>
      <c r="F36">
        <v>3.6469999999999998</v>
      </c>
      <c r="G36">
        <v>0</v>
      </c>
      <c r="H36">
        <v>0</v>
      </c>
      <c r="I36" t="s">
        <v>14</v>
      </c>
    </row>
    <row r="37" spans="1:9" x14ac:dyDescent="0.25">
      <c r="A37" s="64">
        <v>45645</v>
      </c>
      <c r="B37" t="s">
        <v>348</v>
      </c>
      <c r="C37" t="s">
        <v>381</v>
      </c>
      <c r="D37" t="s">
        <v>350</v>
      </c>
      <c r="E37">
        <v>125.218</v>
      </c>
      <c r="F37">
        <v>3.6469999999999998</v>
      </c>
      <c r="G37">
        <v>6.5904210526315792</v>
      </c>
      <c r="H37">
        <v>24.035299999999999</v>
      </c>
      <c r="I37" t="s">
        <v>14</v>
      </c>
    </row>
    <row r="38" spans="1:9" x14ac:dyDescent="0.25">
      <c r="A38" s="64">
        <v>45645</v>
      </c>
      <c r="B38" t="s">
        <v>112</v>
      </c>
      <c r="C38" t="s">
        <v>192</v>
      </c>
      <c r="D38" t="s">
        <v>191</v>
      </c>
      <c r="E38">
        <v>121.56699999999999</v>
      </c>
      <c r="F38">
        <v>3.6469999999999998</v>
      </c>
      <c r="G38">
        <v>6.3982631578947364</v>
      </c>
      <c r="H38">
        <v>23.334499999999998</v>
      </c>
      <c r="I38" t="s">
        <v>14</v>
      </c>
    </row>
    <row r="39" spans="1:9" x14ac:dyDescent="0.25">
      <c r="A39" s="64">
        <v>45645</v>
      </c>
      <c r="B39" t="s">
        <v>204</v>
      </c>
      <c r="C39" t="s">
        <v>203</v>
      </c>
      <c r="D39" t="s">
        <v>202</v>
      </c>
      <c r="E39">
        <v>132.077</v>
      </c>
      <c r="F39">
        <v>3.6469999999999998</v>
      </c>
      <c r="G39">
        <v>6.9514210526315789</v>
      </c>
      <c r="H39">
        <v>25.351800000000001</v>
      </c>
      <c r="I39" t="s">
        <v>14</v>
      </c>
    </row>
    <row r="40" spans="1:9" x14ac:dyDescent="0.25">
      <c r="A40" s="64">
        <v>45645</v>
      </c>
      <c r="B40" t="s">
        <v>210</v>
      </c>
      <c r="C40" t="s">
        <v>209</v>
      </c>
      <c r="D40" t="s">
        <v>208</v>
      </c>
      <c r="E40">
        <v>136.928</v>
      </c>
      <c r="F40">
        <v>3.6469999999999998</v>
      </c>
      <c r="G40">
        <v>7.2067368421052631</v>
      </c>
      <c r="H40">
        <v>26.283000000000001</v>
      </c>
      <c r="I40" t="s">
        <v>14</v>
      </c>
    </row>
    <row r="41" spans="1:9" x14ac:dyDescent="0.25">
      <c r="A41" s="64">
        <v>45645</v>
      </c>
      <c r="B41" t="s">
        <v>198</v>
      </c>
      <c r="C41" t="s">
        <v>197</v>
      </c>
      <c r="D41" t="s">
        <v>196</v>
      </c>
      <c r="E41">
        <v>105.97499999999999</v>
      </c>
      <c r="F41">
        <v>3.6469999999999998</v>
      </c>
      <c r="G41">
        <v>5.5776315789473685</v>
      </c>
      <c r="H41">
        <v>20.3416</v>
      </c>
      <c r="I41" t="s">
        <v>14</v>
      </c>
    </row>
    <row r="42" spans="1:9" x14ac:dyDescent="0.25">
      <c r="A42" s="64">
        <v>45645</v>
      </c>
      <c r="B42" t="s">
        <v>385</v>
      </c>
      <c r="C42" t="s">
        <v>339</v>
      </c>
      <c r="D42" t="s">
        <v>253</v>
      </c>
      <c r="E42">
        <v>129.52000000000001</v>
      </c>
      <c r="F42">
        <v>3.6469999999999998</v>
      </c>
      <c r="G42">
        <v>6.8168421052631585</v>
      </c>
      <c r="H42">
        <v>24.861000000000001</v>
      </c>
      <c r="I42" t="s">
        <v>14</v>
      </c>
    </row>
    <row r="43" spans="1:9" x14ac:dyDescent="0.25">
      <c r="A43" s="64">
        <v>45645</v>
      </c>
      <c r="B43" t="s">
        <v>344</v>
      </c>
      <c r="C43" t="s">
        <v>206</v>
      </c>
      <c r="D43" t="s">
        <v>205</v>
      </c>
      <c r="E43">
        <v>86.468999999999994</v>
      </c>
      <c r="F43">
        <v>3.6469999999999998</v>
      </c>
      <c r="G43">
        <v>4.5509999999999993</v>
      </c>
      <c r="H43">
        <v>16.5975</v>
      </c>
      <c r="I43" t="s">
        <v>14</v>
      </c>
    </row>
    <row r="44" spans="1:9" x14ac:dyDescent="0.25">
      <c r="A44" s="64">
        <v>45645</v>
      </c>
      <c r="B44" t="s">
        <v>386</v>
      </c>
      <c r="C44" t="s">
        <v>340</v>
      </c>
      <c r="D44" t="s">
        <v>252</v>
      </c>
      <c r="E44">
        <v>116.776</v>
      </c>
      <c r="F44">
        <v>3.6469999999999998</v>
      </c>
      <c r="G44">
        <v>6.146105263157895</v>
      </c>
      <c r="H44">
        <v>22.4148</v>
      </c>
      <c r="I44" t="s">
        <v>14</v>
      </c>
    </row>
    <row r="45" spans="1:9" x14ac:dyDescent="0.25">
      <c r="A45" s="64">
        <v>45645</v>
      </c>
      <c r="B45" t="s">
        <v>195</v>
      </c>
      <c r="C45" t="s">
        <v>194</v>
      </c>
      <c r="D45" t="s">
        <v>193</v>
      </c>
      <c r="E45">
        <v>0</v>
      </c>
      <c r="F45">
        <v>3.6469999999999998</v>
      </c>
      <c r="G45">
        <v>0</v>
      </c>
      <c r="H45">
        <v>0</v>
      </c>
      <c r="I45" t="s">
        <v>14</v>
      </c>
    </row>
    <row r="46" spans="1:9" x14ac:dyDescent="0.25">
      <c r="A46" s="64">
        <v>45646</v>
      </c>
      <c r="B46" t="s">
        <v>213</v>
      </c>
      <c r="C46" t="s">
        <v>212</v>
      </c>
      <c r="D46" t="s">
        <v>211</v>
      </c>
      <c r="E46">
        <v>138.74199999999999</v>
      </c>
      <c r="F46">
        <v>3.6469999999999998</v>
      </c>
      <c r="G46">
        <v>7.3022105263157888</v>
      </c>
      <c r="H46">
        <v>26.6312</v>
      </c>
      <c r="I46" t="s">
        <v>14</v>
      </c>
    </row>
    <row r="47" spans="1:9" x14ac:dyDescent="0.25">
      <c r="A47" s="64">
        <v>45646</v>
      </c>
      <c r="B47" t="s">
        <v>201</v>
      </c>
      <c r="C47" t="s">
        <v>200</v>
      </c>
      <c r="D47" t="s">
        <v>199</v>
      </c>
      <c r="E47">
        <v>0</v>
      </c>
      <c r="F47">
        <v>3.6469999999999998</v>
      </c>
      <c r="G47">
        <v>0</v>
      </c>
      <c r="H47">
        <v>0</v>
      </c>
      <c r="I47" t="s">
        <v>14</v>
      </c>
    </row>
    <row r="48" spans="1:9" x14ac:dyDescent="0.25">
      <c r="A48" s="64">
        <v>45646</v>
      </c>
      <c r="B48" t="s">
        <v>348</v>
      </c>
      <c r="C48" t="s">
        <v>381</v>
      </c>
      <c r="D48" t="s">
        <v>350</v>
      </c>
      <c r="E48">
        <v>109.554</v>
      </c>
      <c r="F48">
        <v>3.6469999999999998</v>
      </c>
      <c r="G48">
        <v>5.766</v>
      </c>
      <c r="H48">
        <v>21.028600000000001</v>
      </c>
      <c r="I48" t="s">
        <v>14</v>
      </c>
    </row>
    <row r="49" spans="1:9" x14ac:dyDescent="0.25">
      <c r="A49" s="64">
        <v>45646</v>
      </c>
      <c r="B49" t="s">
        <v>112</v>
      </c>
      <c r="C49" t="s">
        <v>192</v>
      </c>
      <c r="D49" t="s">
        <v>191</v>
      </c>
      <c r="E49">
        <v>107.322</v>
      </c>
      <c r="F49">
        <v>3.6469999999999998</v>
      </c>
      <c r="G49">
        <v>5.6485263157894741</v>
      </c>
      <c r="H49">
        <v>20.600200000000001</v>
      </c>
      <c r="I49" t="s">
        <v>14</v>
      </c>
    </row>
    <row r="50" spans="1:9" x14ac:dyDescent="0.25">
      <c r="A50" s="64">
        <v>45646</v>
      </c>
      <c r="B50" t="s">
        <v>204</v>
      </c>
      <c r="C50" t="s">
        <v>203</v>
      </c>
      <c r="D50" t="s">
        <v>202</v>
      </c>
      <c r="E50">
        <v>137.53</v>
      </c>
      <c r="F50">
        <v>3.6469999999999998</v>
      </c>
      <c r="G50">
        <v>7.2384210526315789</v>
      </c>
      <c r="H50">
        <v>26.398499999999999</v>
      </c>
      <c r="I50" t="s">
        <v>14</v>
      </c>
    </row>
    <row r="51" spans="1:9" x14ac:dyDescent="0.25">
      <c r="A51" s="64">
        <v>45646</v>
      </c>
      <c r="B51" t="s">
        <v>210</v>
      </c>
      <c r="C51" t="s">
        <v>209</v>
      </c>
      <c r="D51" t="s">
        <v>208</v>
      </c>
      <c r="E51">
        <v>156.654</v>
      </c>
      <c r="F51">
        <v>3.6469999999999998</v>
      </c>
      <c r="G51">
        <v>8.2449473684210517</v>
      </c>
      <c r="H51">
        <v>30.069299999999998</v>
      </c>
      <c r="I51" t="s">
        <v>14</v>
      </c>
    </row>
    <row r="52" spans="1:9" x14ac:dyDescent="0.25">
      <c r="A52" s="64">
        <v>45646</v>
      </c>
      <c r="B52" t="s">
        <v>198</v>
      </c>
      <c r="C52" t="s">
        <v>197</v>
      </c>
      <c r="D52" t="s">
        <v>196</v>
      </c>
      <c r="E52">
        <v>121.631</v>
      </c>
      <c r="F52">
        <v>3.6469999999999998</v>
      </c>
      <c r="G52">
        <v>6.4016315789473683</v>
      </c>
      <c r="H52">
        <v>23.346800000000002</v>
      </c>
      <c r="I52" t="s">
        <v>14</v>
      </c>
    </row>
    <row r="53" spans="1:9" x14ac:dyDescent="0.25">
      <c r="A53" s="64">
        <v>45646</v>
      </c>
      <c r="B53" t="s">
        <v>385</v>
      </c>
      <c r="C53" t="s">
        <v>339</v>
      </c>
      <c r="D53" t="s">
        <v>253</v>
      </c>
      <c r="E53">
        <v>118.87</v>
      </c>
      <c r="F53">
        <v>3.6469999999999998</v>
      </c>
      <c r="G53">
        <v>6.2563157894736845</v>
      </c>
      <c r="H53">
        <v>22.816800000000001</v>
      </c>
      <c r="I53" t="s">
        <v>14</v>
      </c>
    </row>
    <row r="54" spans="1:9" x14ac:dyDescent="0.25">
      <c r="A54" s="64">
        <v>45646</v>
      </c>
      <c r="B54" t="s">
        <v>344</v>
      </c>
      <c r="C54" t="s">
        <v>206</v>
      </c>
      <c r="D54" t="s">
        <v>205</v>
      </c>
      <c r="E54">
        <v>146.435</v>
      </c>
      <c r="F54">
        <v>3.6469999999999998</v>
      </c>
      <c r="G54">
        <v>7.7071052631578949</v>
      </c>
      <c r="H54">
        <v>28.107800000000001</v>
      </c>
      <c r="I54" t="s">
        <v>14</v>
      </c>
    </row>
    <row r="55" spans="1:9" x14ac:dyDescent="0.25">
      <c r="A55" s="64">
        <v>45646</v>
      </c>
      <c r="B55" t="s">
        <v>386</v>
      </c>
      <c r="C55" t="s">
        <v>340</v>
      </c>
      <c r="D55" t="s">
        <v>252</v>
      </c>
      <c r="E55">
        <v>98.58</v>
      </c>
      <c r="F55">
        <v>3.6469999999999998</v>
      </c>
      <c r="G55">
        <v>5.188421052631579</v>
      </c>
      <c r="H55">
        <v>18.9222</v>
      </c>
      <c r="I55" t="s">
        <v>14</v>
      </c>
    </row>
    <row r="56" spans="1:9" x14ac:dyDescent="0.25">
      <c r="A56" s="64">
        <v>45646</v>
      </c>
      <c r="B56" t="s">
        <v>195</v>
      </c>
      <c r="C56" t="s">
        <v>194</v>
      </c>
      <c r="D56" t="s">
        <v>193</v>
      </c>
      <c r="E56">
        <v>0</v>
      </c>
      <c r="F56">
        <v>3.6469999999999998</v>
      </c>
      <c r="G56">
        <v>0</v>
      </c>
      <c r="H56">
        <v>0</v>
      </c>
      <c r="I56" t="s">
        <v>14</v>
      </c>
    </row>
    <row r="57" spans="1:9" x14ac:dyDescent="0.25">
      <c r="A57" s="64">
        <v>45649</v>
      </c>
      <c r="B57" t="s">
        <v>213</v>
      </c>
      <c r="C57" t="s">
        <v>212</v>
      </c>
      <c r="D57" t="s">
        <v>211</v>
      </c>
      <c r="E57">
        <v>63.569000000000003</v>
      </c>
      <c r="F57">
        <v>3.6469999999999998</v>
      </c>
      <c r="G57">
        <v>3.3457368421052633</v>
      </c>
      <c r="H57">
        <v>12.2019</v>
      </c>
      <c r="I57" t="s">
        <v>15</v>
      </c>
    </row>
    <row r="58" spans="1:9" x14ac:dyDescent="0.25">
      <c r="A58" s="64">
        <v>45649</v>
      </c>
      <c r="B58" t="s">
        <v>201</v>
      </c>
      <c r="C58" t="s">
        <v>200</v>
      </c>
      <c r="D58" t="s">
        <v>199</v>
      </c>
      <c r="E58">
        <v>0</v>
      </c>
      <c r="F58">
        <v>3.6469999999999998</v>
      </c>
      <c r="G58">
        <v>0</v>
      </c>
      <c r="H58">
        <v>0</v>
      </c>
      <c r="I58" t="s">
        <v>15</v>
      </c>
    </row>
    <row r="59" spans="1:9" x14ac:dyDescent="0.25">
      <c r="A59" s="64">
        <v>45649</v>
      </c>
      <c r="B59" t="s">
        <v>348</v>
      </c>
      <c r="C59" t="s">
        <v>381</v>
      </c>
      <c r="D59" t="s">
        <v>350</v>
      </c>
      <c r="E59">
        <v>115.343</v>
      </c>
      <c r="F59">
        <v>3.6469999999999998</v>
      </c>
      <c r="G59">
        <v>6.0706842105263163</v>
      </c>
      <c r="H59">
        <v>22.139800000000001</v>
      </c>
      <c r="I59" t="s">
        <v>15</v>
      </c>
    </row>
    <row r="60" spans="1:9" x14ac:dyDescent="0.25">
      <c r="A60" s="64">
        <v>45649</v>
      </c>
      <c r="B60" t="s">
        <v>112</v>
      </c>
      <c r="C60" t="s">
        <v>192</v>
      </c>
      <c r="D60" t="s">
        <v>191</v>
      </c>
      <c r="E60">
        <v>107.191</v>
      </c>
      <c r="F60">
        <v>3.6469999999999998</v>
      </c>
      <c r="G60">
        <v>5.6416315789473686</v>
      </c>
      <c r="H60">
        <v>20.574999999999999</v>
      </c>
      <c r="I60" t="s">
        <v>15</v>
      </c>
    </row>
    <row r="61" spans="1:9" x14ac:dyDescent="0.25">
      <c r="A61" s="64">
        <v>45649</v>
      </c>
      <c r="B61" t="s">
        <v>204</v>
      </c>
      <c r="C61" t="s">
        <v>203</v>
      </c>
      <c r="D61" t="s">
        <v>202</v>
      </c>
      <c r="E61">
        <v>118.005</v>
      </c>
      <c r="F61">
        <v>3.6469999999999998</v>
      </c>
      <c r="G61">
        <v>6.2107894736842102</v>
      </c>
      <c r="H61">
        <v>22.650700000000001</v>
      </c>
      <c r="I61" t="s">
        <v>15</v>
      </c>
    </row>
    <row r="62" spans="1:9" x14ac:dyDescent="0.25">
      <c r="A62" s="64">
        <v>45649</v>
      </c>
      <c r="B62" t="s">
        <v>210</v>
      </c>
      <c r="C62" t="s">
        <v>209</v>
      </c>
      <c r="D62" t="s">
        <v>208</v>
      </c>
      <c r="E62">
        <v>91.65</v>
      </c>
      <c r="F62">
        <v>3.6469999999999998</v>
      </c>
      <c r="G62">
        <v>4.8236842105263165</v>
      </c>
      <c r="H62">
        <v>17.591999999999999</v>
      </c>
      <c r="I62" t="s">
        <v>15</v>
      </c>
    </row>
    <row r="63" spans="1:9" x14ac:dyDescent="0.25">
      <c r="A63" s="64">
        <v>45649</v>
      </c>
      <c r="B63" t="s">
        <v>198</v>
      </c>
      <c r="C63" t="s">
        <v>197</v>
      </c>
      <c r="D63" t="s">
        <v>196</v>
      </c>
      <c r="E63">
        <v>121.84099999999999</v>
      </c>
      <c r="F63">
        <v>3.6469999999999998</v>
      </c>
      <c r="G63">
        <v>6.4126842105263151</v>
      </c>
      <c r="H63">
        <v>23.3871</v>
      </c>
      <c r="I63" t="s">
        <v>15</v>
      </c>
    </row>
    <row r="64" spans="1:9" x14ac:dyDescent="0.25">
      <c r="A64" s="64">
        <v>45649</v>
      </c>
      <c r="B64" t="s">
        <v>385</v>
      </c>
      <c r="C64" t="s">
        <v>339</v>
      </c>
      <c r="D64" t="s">
        <v>253</v>
      </c>
      <c r="E64">
        <v>139.68</v>
      </c>
      <c r="F64">
        <v>3.6469999999999998</v>
      </c>
      <c r="G64">
        <v>7.351578947368421</v>
      </c>
      <c r="H64">
        <v>26.811199999999999</v>
      </c>
      <c r="I64" t="s">
        <v>15</v>
      </c>
    </row>
    <row r="65" spans="1:9" x14ac:dyDescent="0.25">
      <c r="A65" s="64">
        <v>45649</v>
      </c>
      <c r="B65" t="s">
        <v>344</v>
      </c>
      <c r="C65" t="s">
        <v>206</v>
      </c>
      <c r="D65" t="s">
        <v>205</v>
      </c>
      <c r="E65">
        <v>106.307</v>
      </c>
      <c r="F65">
        <v>3.6469999999999998</v>
      </c>
      <c r="G65">
        <v>5.5951052631578948</v>
      </c>
      <c r="H65">
        <v>20.4053</v>
      </c>
      <c r="I65" t="s">
        <v>15</v>
      </c>
    </row>
    <row r="66" spans="1:9" x14ac:dyDescent="0.25">
      <c r="A66" s="64">
        <v>45649</v>
      </c>
      <c r="B66" t="s">
        <v>386</v>
      </c>
      <c r="C66" t="s">
        <v>340</v>
      </c>
      <c r="D66" t="s">
        <v>252</v>
      </c>
      <c r="E66">
        <v>120.32599999999999</v>
      </c>
      <c r="F66">
        <v>3.6469999999999998</v>
      </c>
      <c r="G66">
        <v>6.3329473684210527</v>
      </c>
      <c r="H66">
        <v>23.096299999999999</v>
      </c>
      <c r="I66" t="s">
        <v>15</v>
      </c>
    </row>
    <row r="67" spans="1:9" x14ac:dyDescent="0.25">
      <c r="A67" s="64">
        <v>45649</v>
      </c>
      <c r="B67" t="s">
        <v>195</v>
      </c>
      <c r="C67" t="s">
        <v>194</v>
      </c>
      <c r="D67" t="s">
        <v>193</v>
      </c>
      <c r="E67">
        <v>0</v>
      </c>
      <c r="F67">
        <v>3.6469999999999998</v>
      </c>
      <c r="G67">
        <v>0</v>
      </c>
      <c r="H67">
        <v>0</v>
      </c>
      <c r="I67" t="s">
        <v>15</v>
      </c>
    </row>
    <row r="68" spans="1:9" x14ac:dyDescent="0.25">
      <c r="A68" s="64">
        <v>45650</v>
      </c>
      <c r="B68" t="s">
        <v>213</v>
      </c>
      <c r="C68" t="s">
        <v>212</v>
      </c>
      <c r="D68" t="s">
        <v>211</v>
      </c>
      <c r="E68">
        <v>136.58799999999999</v>
      </c>
      <c r="F68">
        <v>3.6469999999999998</v>
      </c>
      <c r="G68">
        <v>7.1888421052631575</v>
      </c>
      <c r="H68">
        <v>26.217700000000001</v>
      </c>
      <c r="I68" t="s">
        <v>15</v>
      </c>
    </row>
    <row r="69" spans="1:9" x14ac:dyDescent="0.25">
      <c r="A69" s="64">
        <v>45650</v>
      </c>
      <c r="B69" t="s">
        <v>201</v>
      </c>
      <c r="C69" t="s">
        <v>200</v>
      </c>
      <c r="D69" t="s">
        <v>199</v>
      </c>
      <c r="E69">
        <v>0</v>
      </c>
      <c r="F69">
        <v>3.6469999999999998</v>
      </c>
      <c r="G69">
        <v>0</v>
      </c>
      <c r="H69">
        <v>0</v>
      </c>
      <c r="I69" t="s">
        <v>15</v>
      </c>
    </row>
    <row r="70" spans="1:9" x14ac:dyDescent="0.25">
      <c r="A70" s="64">
        <v>45650</v>
      </c>
      <c r="B70" t="s">
        <v>348</v>
      </c>
      <c r="C70" t="s">
        <v>381</v>
      </c>
      <c r="D70" t="s">
        <v>350</v>
      </c>
      <c r="E70">
        <v>147.31299999999999</v>
      </c>
      <c r="F70">
        <v>3.6469999999999998</v>
      </c>
      <c r="G70">
        <v>7.7533157894736835</v>
      </c>
      <c r="H70">
        <v>28.276299999999999</v>
      </c>
      <c r="I70" t="s">
        <v>15</v>
      </c>
    </row>
    <row r="71" spans="1:9" x14ac:dyDescent="0.25">
      <c r="A71" s="64">
        <v>45650</v>
      </c>
      <c r="B71" t="s">
        <v>112</v>
      </c>
      <c r="C71" t="s">
        <v>192</v>
      </c>
      <c r="D71" t="s">
        <v>191</v>
      </c>
      <c r="E71">
        <v>121.601</v>
      </c>
      <c r="F71">
        <v>3.6469999999999998</v>
      </c>
      <c r="G71">
        <v>6.400052631578947</v>
      </c>
      <c r="H71">
        <v>23.341000000000001</v>
      </c>
      <c r="I71" t="s">
        <v>15</v>
      </c>
    </row>
    <row r="72" spans="1:9" x14ac:dyDescent="0.25">
      <c r="A72" s="64">
        <v>45650</v>
      </c>
      <c r="B72" t="s">
        <v>204</v>
      </c>
      <c r="C72" t="s">
        <v>203</v>
      </c>
      <c r="D72" t="s">
        <v>202</v>
      </c>
      <c r="E72">
        <v>117.643</v>
      </c>
      <c r="F72">
        <v>3.6469999999999998</v>
      </c>
      <c r="G72">
        <v>6.1917368421052634</v>
      </c>
      <c r="H72">
        <v>22.581299999999999</v>
      </c>
      <c r="I72" t="s">
        <v>15</v>
      </c>
    </row>
    <row r="73" spans="1:9" x14ac:dyDescent="0.25">
      <c r="A73" s="64">
        <v>45650</v>
      </c>
      <c r="B73" t="s">
        <v>210</v>
      </c>
      <c r="C73" t="s">
        <v>209</v>
      </c>
      <c r="D73" t="s">
        <v>208</v>
      </c>
      <c r="E73">
        <v>110.995</v>
      </c>
      <c r="F73">
        <v>3.6469999999999998</v>
      </c>
      <c r="G73">
        <v>5.8418421052631579</v>
      </c>
      <c r="H73">
        <v>21.305199999999999</v>
      </c>
      <c r="I73" t="s">
        <v>15</v>
      </c>
    </row>
    <row r="74" spans="1:9" x14ac:dyDescent="0.25">
      <c r="A74" s="64">
        <v>45650</v>
      </c>
      <c r="B74" t="s">
        <v>198</v>
      </c>
      <c r="C74" t="s">
        <v>197</v>
      </c>
      <c r="D74" t="s">
        <v>196</v>
      </c>
      <c r="E74">
        <v>120.352</v>
      </c>
      <c r="F74">
        <v>3.6469999999999998</v>
      </c>
      <c r="G74">
        <v>6.3343157894736848</v>
      </c>
      <c r="H74">
        <v>23.101199999999999</v>
      </c>
      <c r="I74" t="s">
        <v>15</v>
      </c>
    </row>
    <row r="75" spans="1:9" x14ac:dyDescent="0.25">
      <c r="A75" s="64">
        <v>45650</v>
      </c>
      <c r="B75" t="s">
        <v>385</v>
      </c>
      <c r="C75" t="s">
        <v>339</v>
      </c>
      <c r="D75" t="s">
        <v>253</v>
      </c>
      <c r="E75">
        <v>110.309</v>
      </c>
      <c r="F75">
        <v>3.6469999999999998</v>
      </c>
      <c r="G75">
        <v>5.8057368421052633</v>
      </c>
      <c r="H75">
        <v>21.173500000000001</v>
      </c>
      <c r="I75" t="s">
        <v>15</v>
      </c>
    </row>
    <row r="76" spans="1:9" x14ac:dyDescent="0.25">
      <c r="A76" s="64">
        <v>45650</v>
      </c>
      <c r="B76" t="s">
        <v>344</v>
      </c>
      <c r="C76" t="s">
        <v>206</v>
      </c>
      <c r="D76" t="s">
        <v>205</v>
      </c>
      <c r="E76">
        <v>78.972999999999999</v>
      </c>
      <c r="F76">
        <v>3.6469999999999998</v>
      </c>
      <c r="G76">
        <v>4.1564736842105265</v>
      </c>
      <c r="H76">
        <v>15.1587</v>
      </c>
      <c r="I76" t="s">
        <v>15</v>
      </c>
    </row>
    <row r="77" spans="1:9" x14ac:dyDescent="0.25">
      <c r="A77" s="64">
        <v>45650</v>
      </c>
      <c r="B77" t="s">
        <v>386</v>
      </c>
      <c r="C77" t="s">
        <v>340</v>
      </c>
      <c r="D77" t="s">
        <v>252</v>
      </c>
      <c r="E77">
        <v>105.798</v>
      </c>
      <c r="F77">
        <v>3.6469999999999998</v>
      </c>
      <c r="G77">
        <v>5.5683157894736839</v>
      </c>
      <c r="H77">
        <v>20.307600000000001</v>
      </c>
      <c r="I77" t="s">
        <v>15</v>
      </c>
    </row>
    <row r="78" spans="1:9" x14ac:dyDescent="0.25">
      <c r="A78" s="64">
        <v>45650</v>
      </c>
      <c r="B78" t="s">
        <v>195</v>
      </c>
      <c r="C78" t="s">
        <v>194</v>
      </c>
      <c r="D78" t="s">
        <v>193</v>
      </c>
      <c r="E78">
        <v>0</v>
      </c>
      <c r="F78">
        <v>3.6469999999999998</v>
      </c>
      <c r="G78">
        <v>0</v>
      </c>
      <c r="H78">
        <v>0</v>
      </c>
      <c r="I78" t="s">
        <v>15</v>
      </c>
    </row>
    <row r="79" spans="1:9" x14ac:dyDescent="0.25">
      <c r="A79" s="64">
        <v>45652</v>
      </c>
      <c r="B79" t="s">
        <v>213</v>
      </c>
      <c r="C79" t="s">
        <v>212</v>
      </c>
      <c r="D79" t="s">
        <v>211</v>
      </c>
      <c r="E79">
        <v>0</v>
      </c>
      <c r="F79">
        <v>3.6469999999999998</v>
      </c>
      <c r="G79">
        <v>0</v>
      </c>
      <c r="H79">
        <v>0</v>
      </c>
      <c r="I79" t="s">
        <v>15</v>
      </c>
    </row>
    <row r="80" spans="1:9" x14ac:dyDescent="0.25">
      <c r="A80" s="64">
        <v>45652</v>
      </c>
      <c r="B80" t="s">
        <v>201</v>
      </c>
      <c r="C80" t="s">
        <v>200</v>
      </c>
      <c r="D80" t="s">
        <v>199</v>
      </c>
      <c r="E80">
        <v>0</v>
      </c>
      <c r="F80">
        <v>3.6469999999999998</v>
      </c>
      <c r="G80">
        <v>0</v>
      </c>
      <c r="H80">
        <v>0</v>
      </c>
      <c r="I80" t="s">
        <v>15</v>
      </c>
    </row>
    <row r="81" spans="1:9" x14ac:dyDescent="0.25">
      <c r="A81" s="64">
        <v>45652</v>
      </c>
      <c r="B81" t="s">
        <v>348</v>
      </c>
      <c r="C81" t="s">
        <v>381</v>
      </c>
      <c r="D81" t="s">
        <v>350</v>
      </c>
      <c r="E81">
        <v>95.177000000000007</v>
      </c>
      <c r="F81">
        <v>3.6469999999999998</v>
      </c>
      <c r="G81">
        <v>5.0093157894736846</v>
      </c>
      <c r="H81">
        <v>18.268999999999998</v>
      </c>
      <c r="I81" t="s">
        <v>15</v>
      </c>
    </row>
    <row r="82" spans="1:9" x14ac:dyDescent="0.25">
      <c r="A82" s="64">
        <v>45652</v>
      </c>
      <c r="B82" t="s">
        <v>112</v>
      </c>
      <c r="C82" t="s">
        <v>192</v>
      </c>
      <c r="D82" t="s">
        <v>191</v>
      </c>
      <c r="E82">
        <v>125.999</v>
      </c>
      <c r="F82">
        <v>3.6469999999999998</v>
      </c>
      <c r="G82">
        <v>6.6315263157894737</v>
      </c>
      <c r="H82">
        <v>24.185199999999998</v>
      </c>
      <c r="I82" t="s">
        <v>15</v>
      </c>
    </row>
    <row r="83" spans="1:9" x14ac:dyDescent="0.25">
      <c r="A83" s="64">
        <v>45652</v>
      </c>
      <c r="B83" t="s">
        <v>204</v>
      </c>
      <c r="C83" t="s">
        <v>203</v>
      </c>
      <c r="D83" t="s">
        <v>202</v>
      </c>
      <c r="E83">
        <v>110.379</v>
      </c>
      <c r="F83">
        <v>3.6469999999999998</v>
      </c>
      <c r="G83">
        <v>5.8094210526315795</v>
      </c>
      <c r="H83">
        <v>21.187000000000001</v>
      </c>
      <c r="I83" t="s">
        <v>15</v>
      </c>
    </row>
    <row r="84" spans="1:9" x14ac:dyDescent="0.25">
      <c r="A84" s="64">
        <v>45652</v>
      </c>
      <c r="B84" t="s">
        <v>210</v>
      </c>
      <c r="C84" t="s">
        <v>209</v>
      </c>
      <c r="D84" t="s">
        <v>208</v>
      </c>
      <c r="E84">
        <v>145.66300000000001</v>
      </c>
      <c r="F84">
        <v>3.6469999999999998</v>
      </c>
      <c r="G84">
        <v>7.6664736842105272</v>
      </c>
      <c r="H84">
        <v>27.959599999999998</v>
      </c>
      <c r="I84" t="s">
        <v>15</v>
      </c>
    </row>
    <row r="85" spans="1:9" x14ac:dyDescent="0.25">
      <c r="A85" s="64">
        <v>45652</v>
      </c>
      <c r="B85" t="s">
        <v>198</v>
      </c>
      <c r="C85" t="s">
        <v>197</v>
      </c>
      <c r="D85" t="s">
        <v>196</v>
      </c>
      <c r="E85">
        <v>90.772999999999996</v>
      </c>
      <c r="F85">
        <v>3.6469999999999998</v>
      </c>
      <c r="G85">
        <v>4.7775263157894736</v>
      </c>
      <c r="H85">
        <v>17.4236</v>
      </c>
      <c r="I85" t="s">
        <v>15</v>
      </c>
    </row>
    <row r="86" spans="1:9" x14ac:dyDescent="0.25">
      <c r="A86" s="64">
        <v>45652</v>
      </c>
      <c r="B86" t="s">
        <v>385</v>
      </c>
      <c r="C86" t="s">
        <v>339</v>
      </c>
      <c r="D86" t="s">
        <v>253</v>
      </c>
      <c r="E86">
        <v>122.086</v>
      </c>
      <c r="F86">
        <v>3.6469999999999998</v>
      </c>
      <c r="G86">
        <v>6.4255789473684208</v>
      </c>
      <c r="H86">
        <v>23.434100000000001</v>
      </c>
      <c r="I86" t="s">
        <v>15</v>
      </c>
    </row>
    <row r="87" spans="1:9" x14ac:dyDescent="0.25">
      <c r="A87" s="64">
        <v>45652</v>
      </c>
      <c r="B87" t="s">
        <v>344</v>
      </c>
      <c r="C87" t="s">
        <v>206</v>
      </c>
      <c r="D87" t="s">
        <v>205</v>
      </c>
      <c r="E87">
        <v>0</v>
      </c>
      <c r="F87">
        <v>3.6469999999999998</v>
      </c>
      <c r="G87">
        <v>0</v>
      </c>
      <c r="H87">
        <v>0</v>
      </c>
      <c r="I87" t="s">
        <v>15</v>
      </c>
    </row>
    <row r="88" spans="1:9" x14ac:dyDescent="0.25">
      <c r="A88" s="64">
        <v>45652</v>
      </c>
      <c r="B88" t="s">
        <v>386</v>
      </c>
      <c r="C88" t="s">
        <v>340</v>
      </c>
      <c r="D88" t="s">
        <v>252</v>
      </c>
      <c r="E88">
        <v>70.13</v>
      </c>
      <c r="F88">
        <v>3.6469999999999998</v>
      </c>
      <c r="G88">
        <v>3.6910526315789469</v>
      </c>
      <c r="H88">
        <v>13.4613</v>
      </c>
      <c r="I88" t="s">
        <v>15</v>
      </c>
    </row>
    <row r="89" spans="1:9" x14ac:dyDescent="0.25">
      <c r="A89" s="64">
        <v>45652</v>
      </c>
      <c r="B89" t="s">
        <v>195</v>
      </c>
      <c r="C89" t="s">
        <v>194</v>
      </c>
      <c r="D89" t="s">
        <v>193</v>
      </c>
      <c r="E89">
        <v>0</v>
      </c>
      <c r="F89">
        <v>3.6469999999999998</v>
      </c>
      <c r="G89">
        <v>0</v>
      </c>
      <c r="H89">
        <v>0</v>
      </c>
      <c r="I89" t="s">
        <v>15</v>
      </c>
    </row>
    <row r="90" spans="1:9" x14ac:dyDescent="0.25">
      <c r="A90" s="64">
        <v>45653</v>
      </c>
      <c r="B90" t="s">
        <v>213</v>
      </c>
      <c r="C90" t="s">
        <v>212</v>
      </c>
      <c r="D90" t="s">
        <v>211</v>
      </c>
      <c r="E90">
        <v>0</v>
      </c>
      <c r="F90">
        <v>3.6469999999999998</v>
      </c>
      <c r="G90">
        <v>0</v>
      </c>
      <c r="H90">
        <v>0</v>
      </c>
      <c r="I90" t="s">
        <v>15</v>
      </c>
    </row>
    <row r="91" spans="1:9" x14ac:dyDescent="0.25">
      <c r="A91" s="64">
        <v>45653</v>
      </c>
      <c r="B91" t="s">
        <v>201</v>
      </c>
      <c r="C91" t="s">
        <v>200</v>
      </c>
      <c r="D91" t="s">
        <v>199</v>
      </c>
      <c r="E91">
        <v>0</v>
      </c>
      <c r="F91">
        <v>3.6469999999999998</v>
      </c>
      <c r="G91">
        <v>0</v>
      </c>
      <c r="H91">
        <v>0</v>
      </c>
      <c r="I91" t="s">
        <v>15</v>
      </c>
    </row>
    <row r="92" spans="1:9" x14ac:dyDescent="0.25">
      <c r="A92" s="64">
        <v>45653</v>
      </c>
      <c r="B92" t="s">
        <v>348</v>
      </c>
      <c r="C92" t="s">
        <v>381</v>
      </c>
      <c r="D92" t="s">
        <v>350</v>
      </c>
      <c r="E92">
        <v>0</v>
      </c>
      <c r="F92">
        <v>3.6469999999999998</v>
      </c>
      <c r="G92">
        <v>0</v>
      </c>
      <c r="H92">
        <v>0</v>
      </c>
      <c r="I92" t="s">
        <v>15</v>
      </c>
    </row>
    <row r="93" spans="1:9" x14ac:dyDescent="0.25">
      <c r="A93" s="64">
        <v>45653</v>
      </c>
      <c r="B93" t="s">
        <v>112</v>
      </c>
      <c r="C93" t="s">
        <v>192</v>
      </c>
      <c r="D93" t="s">
        <v>191</v>
      </c>
      <c r="E93">
        <v>118.995</v>
      </c>
      <c r="F93">
        <v>3.6469999999999998</v>
      </c>
      <c r="G93">
        <v>6.2628947368421057</v>
      </c>
      <c r="H93">
        <v>22.840800000000002</v>
      </c>
      <c r="I93" t="s">
        <v>15</v>
      </c>
    </row>
    <row r="94" spans="1:9" x14ac:dyDescent="0.25">
      <c r="A94" s="64">
        <v>45653</v>
      </c>
      <c r="B94" t="s">
        <v>204</v>
      </c>
      <c r="C94" t="s">
        <v>203</v>
      </c>
      <c r="D94" t="s">
        <v>202</v>
      </c>
      <c r="E94">
        <v>133.56399999999999</v>
      </c>
      <c r="F94">
        <v>3.6469999999999998</v>
      </c>
      <c r="G94">
        <v>7.0296842105263151</v>
      </c>
      <c r="H94">
        <v>25.6373</v>
      </c>
      <c r="I94" t="s">
        <v>15</v>
      </c>
    </row>
    <row r="95" spans="1:9" x14ac:dyDescent="0.25">
      <c r="A95" s="64">
        <v>45653</v>
      </c>
      <c r="B95" t="s">
        <v>210</v>
      </c>
      <c r="C95" t="s">
        <v>209</v>
      </c>
      <c r="D95" t="s">
        <v>208</v>
      </c>
      <c r="E95">
        <v>113.777</v>
      </c>
      <c r="F95">
        <v>3.6469999999999998</v>
      </c>
      <c r="G95">
        <v>5.9882631578947372</v>
      </c>
      <c r="H95">
        <v>21.839200000000002</v>
      </c>
      <c r="I95" t="s">
        <v>15</v>
      </c>
    </row>
    <row r="96" spans="1:9" x14ac:dyDescent="0.25">
      <c r="A96" s="64">
        <v>45653</v>
      </c>
      <c r="B96" t="s">
        <v>198</v>
      </c>
      <c r="C96" t="s">
        <v>197</v>
      </c>
      <c r="D96" t="s">
        <v>196</v>
      </c>
      <c r="E96">
        <v>115.541</v>
      </c>
      <c r="F96">
        <v>3.6469999999999998</v>
      </c>
      <c r="G96">
        <v>6.0811052631578946</v>
      </c>
      <c r="H96">
        <v>22.177800000000001</v>
      </c>
      <c r="I96" t="s">
        <v>15</v>
      </c>
    </row>
    <row r="97" spans="1:9" x14ac:dyDescent="0.25">
      <c r="A97" s="64">
        <v>45653</v>
      </c>
      <c r="B97" t="s">
        <v>385</v>
      </c>
      <c r="C97" t="s">
        <v>339</v>
      </c>
      <c r="D97" t="s">
        <v>253</v>
      </c>
      <c r="E97">
        <v>102.32299999999999</v>
      </c>
      <c r="F97">
        <v>3.6469999999999998</v>
      </c>
      <c r="G97">
        <v>5.3854210526315782</v>
      </c>
      <c r="H97">
        <v>19.640599999999999</v>
      </c>
      <c r="I97" t="s">
        <v>15</v>
      </c>
    </row>
    <row r="98" spans="1:9" x14ac:dyDescent="0.25">
      <c r="A98" s="64">
        <v>45653</v>
      </c>
      <c r="B98" t="s">
        <v>344</v>
      </c>
      <c r="C98" t="s">
        <v>206</v>
      </c>
      <c r="D98" t="s">
        <v>205</v>
      </c>
      <c r="E98">
        <v>89.525000000000006</v>
      </c>
      <c r="F98">
        <v>3.6469999999999998</v>
      </c>
      <c r="G98">
        <v>4.7118421052631581</v>
      </c>
      <c r="H98">
        <v>17.184100000000001</v>
      </c>
      <c r="I98" t="s">
        <v>15</v>
      </c>
    </row>
    <row r="99" spans="1:9" x14ac:dyDescent="0.25">
      <c r="A99" s="64">
        <v>45653</v>
      </c>
      <c r="B99" t="s">
        <v>386</v>
      </c>
      <c r="C99" t="s">
        <v>340</v>
      </c>
      <c r="D99" t="s">
        <v>252</v>
      </c>
      <c r="E99">
        <v>103.232</v>
      </c>
      <c r="F99">
        <v>3.6469999999999998</v>
      </c>
      <c r="G99">
        <v>5.4332631578947366</v>
      </c>
      <c r="H99">
        <v>19.815100000000001</v>
      </c>
      <c r="I99" t="s">
        <v>15</v>
      </c>
    </row>
    <row r="100" spans="1:9" x14ac:dyDescent="0.25">
      <c r="A100" s="64">
        <v>45653</v>
      </c>
      <c r="B100" t="s">
        <v>195</v>
      </c>
      <c r="C100" t="s">
        <v>194</v>
      </c>
      <c r="D100" t="s">
        <v>193</v>
      </c>
      <c r="E100">
        <v>0</v>
      </c>
      <c r="F100">
        <v>3.6469999999999998</v>
      </c>
      <c r="G100">
        <v>0</v>
      </c>
      <c r="H100">
        <v>0</v>
      </c>
      <c r="I100" t="s">
        <v>15</v>
      </c>
    </row>
    <row r="101" spans="1:9" x14ac:dyDescent="0.25">
      <c r="A101" s="64">
        <v>45654</v>
      </c>
      <c r="B101" t="s">
        <v>386</v>
      </c>
      <c r="C101" t="s">
        <v>340</v>
      </c>
      <c r="D101" t="s">
        <v>252</v>
      </c>
      <c r="E101">
        <v>65.847999999999999</v>
      </c>
      <c r="F101">
        <v>3.6469999999999998</v>
      </c>
      <c r="G101">
        <v>3.4656842105263159</v>
      </c>
      <c r="H101">
        <v>12.6394</v>
      </c>
      <c r="I101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299</v>
      </c>
      <c r="B1" s="30" t="s">
        <v>300</v>
      </c>
      <c r="C1" s="30" t="s">
        <v>301</v>
      </c>
      <c r="D1" s="30" t="s">
        <v>302</v>
      </c>
      <c r="E1" s="30" t="s">
        <v>303</v>
      </c>
      <c r="F1" s="30" t="s">
        <v>304</v>
      </c>
      <c r="G1" s="30" t="s">
        <v>305</v>
      </c>
      <c r="H1" s="30" t="s">
        <v>306</v>
      </c>
      <c r="I1" s="30" t="s">
        <v>307</v>
      </c>
      <c r="J1" s="30" t="s">
        <v>308</v>
      </c>
      <c r="K1" s="31" t="s">
        <v>309</v>
      </c>
      <c r="L1" s="56" t="s">
        <v>310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311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32</v>
      </c>
      <c r="L11" s="5">
        <v>0</v>
      </c>
      <c r="M11" s="221"/>
      <c r="N11" s="222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-900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>
        <v>0</v>
      </c>
      <c r="M9" s="34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L6+L7+L8-L10-L11-L12-L9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8F01F3-138A-460C-93B9-33A5716AC7F7}">
  <ds:schemaRefs>
    <ds:schemaRef ds:uri="7da8d662-c373-4bdc-9a9f-4efd5212cc08"/>
    <ds:schemaRef ds:uri="http://www.w3.org/XML/1998/namespace"/>
    <ds:schemaRef ds:uri="http://purl.org/dc/elements/1.1/"/>
    <ds:schemaRef ds:uri="7f2e4ee4-515b-4d13-9a18-91f5c892a78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67ACECB-2EBC-4BBD-9CFD-FAC36B1A0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168F6BD-E055-4E7E-BC82-FEE8E79C34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SumVDPMVReport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</vt:lpstr>
      <vt:lpstr>CoastTransactionsChecks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Neil Andrews Dojeta</cp:lastModifiedBy>
  <cp:revision/>
  <dcterms:created xsi:type="dcterms:W3CDTF">2019-08-19T20:31:19Z</dcterms:created>
  <dcterms:modified xsi:type="dcterms:W3CDTF">2025-02-19T10:14:42Z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
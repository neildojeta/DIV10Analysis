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tables/table10.xml" ContentType="application/vnd.openxmlformats-officedocument.spreadsheetml.table+xml"/>
  <Override PartName="/xl/queryTables/queryTable7.xml" ContentType="application/vnd.openxmlformats-officedocument.spreadsheetml.queryTable+xml"/>
  <Override PartName="/xl/tables/table11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5.xml" ContentType="application/vnd.openxmlformats-officedocument.drawing+xml"/>
  <Override PartName="/xl/tables/table12.xml" ContentType="application/vnd.openxmlformats-officedocument.spreadsheetml.table+xml"/>
  <Override PartName="/xl/queryTables/queryTable9.xml" ContentType="application/vnd.openxmlformats-officedocument.spreadsheetml.queryTable+xml"/>
  <Override PartName="/xl/tables/table13.xml" ContentType="application/vnd.openxmlformats-officedocument.spreadsheetml.table+xml"/>
  <Override PartName="/xl/queryTables/queryTable10.xml" ContentType="application/vnd.openxmlformats-officedocument.spreadsheetml.queryTable+xml"/>
  <Override PartName="/xl/tables/table14.xml" ContentType="application/vnd.openxmlformats-officedocument.spreadsheetml.table+xml"/>
  <Override PartName="/xl/queryTables/queryTable11.xml" ContentType="application/vnd.openxmlformats-officedocument.spreadsheetml.queryTable+xml"/>
  <Override PartName="/xl/tables/table15.xml" ContentType="application/vnd.openxmlformats-officedocument.spreadsheetml.table+xml"/>
  <Override PartName="/xl/queryTables/queryTable12.xml" ContentType="application/vnd.openxmlformats-officedocument.spreadsheetml.queryTable+xml"/>
  <Override PartName="/xl/tables/table16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DIV10\"/>
    </mc:Choice>
  </mc:AlternateContent>
  <xr:revisionPtr revIDLastSave="0" documentId="13_ncr:1_{32E53854-87FD-456F-B374-BC80BAA13925}" xr6:coauthVersionLast="47" xr6:coauthVersionMax="47" xr10:uidLastSave="{00000000-0000-0000-0000-000000000000}"/>
  <bookViews>
    <workbookView xWindow="-120" yWindow="-120" windowWidth="29040" windowHeight="15840" tabRatio="731" firstSheet="1" activeTab="14" xr2:uid="{00000000-000D-0000-FFFF-FFFF00000000}"/>
  </bookViews>
  <sheets>
    <sheet name="SignBonus" sheetId="77" state="hidden" r:id="rId1"/>
    <sheet name="SEND VDP Statement" sheetId="94" r:id="rId2"/>
    <sheet name="Pay Period" sheetId="70" r:id="rId3"/>
    <sheet name="PR" sheetId="1" r:id="rId4"/>
    <sheet name="NewSheet" sheetId="72" r:id="rId5"/>
    <sheet name="Review" sheetId="84" state="hidden" r:id="rId6"/>
    <sheet name="Div10PartnerListUber" sheetId="87" state="hidden" r:id="rId7"/>
    <sheet name="PRExportPrep" sheetId="83" state="hidden" r:id="rId8"/>
    <sheet name="PaylocityPRExport" sheetId="96" state="hidden" r:id="rId9"/>
    <sheet name="Sheet1" sheetId="97" state="hidden" r:id="rId10"/>
    <sheet name="SumUberReport" sheetId="85" r:id="rId11"/>
    <sheet name="UberReport" sheetId="86" state="hidden" r:id="rId12"/>
    <sheet name="JasperReport" sheetId="82" state="hidden" r:id="rId13"/>
    <sheet name="Sheet2" sheetId="98" state="hidden" r:id="rId14"/>
    <sheet name="TrapezeReport" sheetId="71" r:id="rId15"/>
    <sheet name="Deductions" sheetId="76" r:id="rId16"/>
    <sheet name="Div10PartnerDetails" sheetId="75" state="hidden" r:id="rId17"/>
    <sheet name="DIV10PartnerList" sheetId="73" state="hidden" r:id="rId18"/>
    <sheet name="DropDown" sheetId="95" state="veryHidden" r:id="rId19"/>
    <sheet name="Check &amp; Balances" sheetId="81" state="veryHidden" r:id="rId20"/>
    <sheet name="ExPre" sheetId="78" state="hidden" r:id="rId21"/>
    <sheet name="TrapezeReportChecks" sheetId="80" state="veryHidden" r:id="rId22"/>
    <sheet name="TollsChecks" sheetId="93" r:id="rId23"/>
    <sheet name="FilePath" sheetId="69" state="hidden" r:id="rId24"/>
    <sheet name="CoastTransactions" sheetId="90" state="hidden" r:id="rId25"/>
    <sheet name="CoastTransactionsChecks" sheetId="91" state="hidden" r:id="rId26"/>
    <sheet name="TrapezeFuel" sheetId="89" state="hidden" r:id="rId27"/>
    <sheet name="BLANK WORKSHEET" sheetId="56" state="hidden" r:id="rId28"/>
    <sheet name="Bastien, R" sheetId="57" state="hidden" r:id="rId29"/>
    <sheet name="Battle, T" sheetId="58" state="hidden" r:id="rId30"/>
    <sheet name="Golden Pothos" sheetId="62" state="hidden" r:id="rId31"/>
    <sheet name="LeLe Trans" sheetId="59" state="hidden" r:id="rId32"/>
    <sheet name="McKinley, J" sheetId="60" state="hidden" r:id="rId33"/>
    <sheet name="Orion" sheetId="64" state="hidden" r:id="rId34"/>
    <sheet name="Qawee, Y" sheetId="63" state="hidden" r:id="rId35"/>
    <sheet name="SR Truck" sheetId="61" state="hidden" r:id="rId36"/>
    <sheet name="BLANK1 CATA" sheetId="65" state="hidden" r:id="rId37"/>
    <sheet name="BLANK2 CATA" sheetId="66" state="hidden" r:id="rId38"/>
  </sheets>
  <functionGroups builtInGroupCount="19"/>
  <externalReferences>
    <externalReference r:id="rId39"/>
    <externalReference r:id="rId40"/>
    <externalReference r:id="rId41"/>
  </externalReferences>
  <definedNames>
    <definedName name="_xlnm._FilterDatabase" localSheetId="28" hidden="1">'Bastien, R'!$A$1:$L$1</definedName>
    <definedName name="_xlnm._FilterDatabase" localSheetId="4" hidden="1">NewSheet!$A$10:$L$42</definedName>
    <definedName name="_xlnm._FilterDatabase" localSheetId="3" hidden="1">PR!$A$4:$N$23</definedName>
    <definedName name="Customer_ID">[1]INVOICE!$C$11</definedName>
    <definedName name="Customer_Name">[1]INVOICE!$H$7</definedName>
    <definedName name="ExternalData_1" localSheetId="17" hidden="1">DIV10PartnerList!$A$1:$J$18</definedName>
    <definedName name="ExternalData_1" localSheetId="6" hidden="1">Div10PartnerListUber!$A$1:$G$8</definedName>
    <definedName name="ExternalData_1" localSheetId="10" hidden="1">SumUberReport!$A$1:$BI$9</definedName>
    <definedName name="ExternalData_1" localSheetId="22" hidden="1">TollsChecks!$A$1:$G$2</definedName>
    <definedName name="ExternalData_1" localSheetId="26" hidden="1">TrapezeFuel!$A$1:$I$106</definedName>
    <definedName name="ExternalData_1" localSheetId="14" hidden="1">TrapezeReport!$A$1:$M$106</definedName>
    <definedName name="ExternalData_1" localSheetId="11" hidden="1">UberReport!$A$1:$AH$9</definedName>
    <definedName name="ExternalData_2" localSheetId="24" hidden="1">'CoastTransactions'!$A$1:$H$93</definedName>
    <definedName name="ExternalData_2" localSheetId="25" hidden="1">'CoastTransactionsChecks'!$A$1:$H$15</definedName>
    <definedName name="ExternalData_2" localSheetId="16" hidden="1">Div10PartnerDetails!$A$1:$C$11</definedName>
    <definedName name="ExternalData_2" localSheetId="12" hidden="1">JasperReport!$A$1:$F$62</definedName>
    <definedName name="ExternalData_2" localSheetId="0" hidden="1">SignBonus!$A$1:$F$3</definedName>
    <definedName name="ExternalData_2" localSheetId="21" hidden="1">TrapezeReportChecks!$A$1:$L$136</definedName>
    <definedName name="ExternalData_3" localSheetId="15" hidden="1">Deductions!$A$1:$K$17</definedName>
    <definedName name="FilePath1">FilePath!$D$2</definedName>
    <definedName name="FilePath10">FilePath!$D$11</definedName>
    <definedName name="FilePath11">FilePath!$D$12</definedName>
    <definedName name="FilePath12">FilePath!$D$13</definedName>
    <definedName name="FilePath13">FilePath!$D$14</definedName>
    <definedName name="FilePath2">FilePath!$D$4</definedName>
    <definedName name="FilePath3">FilePath!$D$5</definedName>
    <definedName name="FilePath4">FilePath!$D$3</definedName>
    <definedName name="FilePath5">FilePath!$D$6</definedName>
    <definedName name="FilePath6">FilePath!$D$7</definedName>
    <definedName name="FilePath7">FilePath!$D$8</definedName>
    <definedName name="FilePath8">FilePath!$D$9</definedName>
    <definedName name="FilePath9">FilePath!$D$10</definedName>
    <definedName name="List_Partners">OFFSET([2]DropDown!$A$3,1,,COUNTA([2]DropDown!$A$3:$A$99999)-1,1)</definedName>
    <definedName name="PartnerList">DIV10PartnerList[PARTNER NAME]</definedName>
    <definedName name="ref_ExportRange">PRExportPrep!$A$1</definedName>
  </definedNames>
  <calcPr calcId="191029"/>
  <pivotCaches>
    <pivotCache cacheId="0" r:id="rId42"/>
    <pivotCache cacheId="1" r:id="rId43"/>
    <pivotCache cacheId="2" r:id="rId44"/>
    <pivotCache cacheId="3" r:id="rId45"/>
    <pivotCache cacheId="4" r:id="rId4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9" i="97" l="1"/>
  <c r="E8" i="97"/>
  <c r="E7" i="97"/>
  <c r="E6" i="97"/>
  <c r="E5" i="97"/>
  <c r="C12" i="70"/>
  <c r="C11" i="70"/>
  <c r="C3" i="70"/>
  <c r="C2" i="70"/>
  <c r="A1" i="95" a="1"/>
  <c r="A1" i="95" s="1"/>
  <c r="M19" i="1" l="1" a="1"/>
  <c r="M19" i="1" s="1"/>
  <c r="M20" i="1" a="1"/>
  <c r="M20" i="1" s="1"/>
  <c r="M21" i="1" a="1"/>
  <c r="M21" i="1" s="1"/>
  <c r="M22" i="1" a="1"/>
  <c r="M22" i="1" s="1"/>
  <c r="F8" i="81" l="1"/>
  <c r="F4" i="81"/>
  <c r="F17" i="81"/>
  <c r="O12" i="72" l="1" a="1"/>
  <c r="O12" i="72" s="1"/>
  <c r="M50" i="1" l="1"/>
  <c r="E6" i="72" l="1" a="1"/>
  <c r="E6" i="72" s="1"/>
  <c r="E5" i="72" a="1"/>
  <c r="E5" i="72" s="1"/>
  <c r="E7" i="72" l="1"/>
  <c r="A36" i="1" a="1"/>
  <c r="A36" i="1" s="1"/>
  <c r="K50" i="1"/>
  <c r="E42" i="1" a="1"/>
  <c r="E42" i="1" s="1"/>
  <c r="F42" i="1" a="1"/>
  <c r="F42" i="1" s="1"/>
  <c r="G42" i="1" a="1"/>
  <c r="G42" i="1" s="1"/>
  <c r="H42" i="1" a="1"/>
  <c r="H42" i="1" s="1"/>
  <c r="I42" i="1" a="1"/>
  <c r="I42" i="1" s="1"/>
  <c r="J42" i="1" a="1"/>
  <c r="J42" i="1" s="1"/>
  <c r="L42" i="1" a="1"/>
  <c r="L42" i="1" s="1"/>
  <c r="E43" i="1" a="1"/>
  <c r="E43" i="1" s="1"/>
  <c r="F43" i="1" a="1"/>
  <c r="F43" i="1" s="1"/>
  <c r="G43" i="1" a="1"/>
  <c r="G43" i="1" s="1"/>
  <c r="H43" i="1" a="1"/>
  <c r="H43" i="1" s="1"/>
  <c r="I43" i="1" a="1"/>
  <c r="I43" i="1" s="1"/>
  <c r="J43" i="1" a="1"/>
  <c r="J43" i="1" s="1"/>
  <c r="L43" i="1" a="1"/>
  <c r="L43" i="1" s="1"/>
  <c r="E44" i="1" a="1"/>
  <c r="E44" i="1" s="1"/>
  <c r="F44" i="1" a="1"/>
  <c r="F44" i="1" s="1"/>
  <c r="G44" i="1" a="1"/>
  <c r="G44" i="1" s="1"/>
  <c r="H44" i="1" a="1"/>
  <c r="H44" i="1" s="1"/>
  <c r="I44" i="1" a="1"/>
  <c r="I44" i="1" s="1"/>
  <c r="J44" i="1" a="1"/>
  <c r="J44" i="1" s="1"/>
  <c r="L44" i="1" a="1"/>
  <c r="L44" i="1" s="1"/>
  <c r="E45" i="1" a="1"/>
  <c r="E45" i="1" s="1"/>
  <c r="F45" i="1" a="1"/>
  <c r="F45" i="1" s="1"/>
  <c r="G45" i="1" a="1"/>
  <c r="G45" i="1" s="1"/>
  <c r="H45" i="1" a="1"/>
  <c r="H45" i="1" s="1"/>
  <c r="I45" i="1" a="1"/>
  <c r="I45" i="1" s="1"/>
  <c r="J45" i="1" a="1"/>
  <c r="J45" i="1" s="1"/>
  <c r="L45" i="1" a="1"/>
  <c r="L45" i="1" s="1"/>
  <c r="E46" i="1" a="1"/>
  <c r="E46" i="1" s="1"/>
  <c r="F46" i="1" a="1"/>
  <c r="F46" i="1" s="1"/>
  <c r="G46" i="1" a="1"/>
  <c r="G46" i="1" s="1"/>
  <c r="H46" i="1" a="1"/>
  <c r="H46" i="1" s="1"/>
  <c r="I46" i="1" a="1"/>
  <c r="I46" i="1" s="1"/>
  <c r="J46" i="1" a="1"/>
  <c r="J46" i="1" s="1"/>
  <c r="L46" i="1" a="1"/>
  <c r="L46" i="1" s="1"/>
  <c r="E47" i="1" a="1"/>
  <c r="E47" i="1" s="1"/>
  <c r="F47" i="1" a="1"/>
  <c r="F47" i="1" s="1"/>
  <c r="G47" i="1" a="1"/>
  <c r="G47" i="1" s="1"/>
  <c r="H47" i="1" a="1"/>
  <c r="H47" i="1" s="1"/>
  <c r="I47" i="1" a="1"/>
  <c r="I47" i="1" s="1"/>
  <c r="J47" i="1" a="1"/>
  <c r="J47" i="1" s="1"/>
  <c r="L47" i="1" a="1"/>
  <c r="L47" i="1" s="1"/>
  <c r="E48" i="1" a="1"/>
  <c r="E48" i="1" s="1"/>
  <c r="F48" i="1" a="1"/>
  <c r="F48" i="1" s="1"/>
  <c r="G48" i="1" a="1"/>
  <c r="G48" i="1" s="1"/>
  <c r="H48" i="1" a="1"/>
  <c r="H48" i="1" s="1"/>
  <c r="I48" i="1" a="1"/>
  <c r="I48" i="1" s="1"/>
  <c r="J48" i="1" a="1"/>
  <c r="J48" i="1" s="1"/>
  <c r="L48" i="1" a="1"/>
  <c r="L48" i="1" s="1"/>
  <c r="E49" i="1" a="1"/>
  <c r="E49" i="1" s="1"/>
  <c r="F49" i="1" a="1"/>
  <c r="F49" i="1" s="1"/>
  <c r="G49" i="1" a="1"/>
  <c r="G49" i="1" s="1"/>
  <c r="H49" i="1" a="1"/>
  <c r="H49" i="1" s="1"/>
  <c r="I49" i="1" a="1"/>
  <c r="I49" i="1" s="1"/>
  <c r="J49" i="1" a="1"/>
  <c r="J49" i="1" s="1"/>
  <c r="L49" i="1" a="1"/>
  <c r="L49" i="1" s="1"/>
  <c r="L19" i="1" a="1"/>
  <c r="L19" i="1" s="1"/>
  <c r="L20" i="1" a="1"/>
  <c r="L20" i="1" s="1"/>
  <c r="L21" i="1" a="1"/>
  <c r="L21" i="1" s="1"/>
  <c r="L22" i="1" a="1"/>
  <c r="L22" i="1" s="1"/>
  <c r="J19" i="1" a="1"/>
  <c r="J19" i="1" s="1"/>
  <c r="J20" i="1" a="1"/>
  <c r="J20" i="1" s="1"/>
  <c r="J21" i="1" a="1"/>
  <c r="J21" i="1" s="1"/>
  <c r="J22" i="1" a="1"/>
  <c r="J22" i="1" s="1"/>
  <c r="H19" i="1" a="1"/>
  <c r="H19" i="1" s="1"/>
  <c r="H20" i="1" a="1"/>
  <c r="H20" i="1" s="1"/>
  <c r="H21" i="1" a="1"/>
  <c r="H21" i="1" s="1"/>
  <c r="H22" i="1" a="1"/>
  <c r="H22" i="1" s="1"/>
  <c r="G19" i="1" a="1"/>
  <c r="G19" i="1" s="1"/>
  <c r="G20" i="1" a="1"/>
  <c r="G20" i="1" s="1"/>
  <c r="G21" i="1" a="1"/>
  <c r="G21" i="1" s="1"/>
  <c r="G22" i="1" a="1"/>
  <c r="G22" i="1" s="1"/>
  <c r="F19" i="1" a="1"/>
  <c r="F19" i="1" s="1"/>
  <c r="F20" i="1" a="1"/>
  <c r="F20" i="1" s="1"/>
  <c r="F21" i="1" a="1"/>
  <c r="F21" i="1" s="1"/>
  <c r="F22" i="1" a="1"/>
  <c r="F22" i="1" s="1"/>
  <c r="E19" i="1" a="1"/>
  <c r="E19" i="1" s="1"/>
  <c r="E20" i="1" a="1"/>
  <c r="E20" i="1" s="1"/>
  <c r="E21" i="1" a="1"/>
  <c r="E21" i="1" s="1"/>
  <c r="E22" i="1" a="1"/>
  <c r="E22" i="1" s="1"/>
  <c r="I19" i="1" a="1"/>
  <c r="I19" i="1" s="1"/>
  <c r="I20" i="1" a="1"/>
  <c r="I20" i="1" s="1"/>
  <c r="I21" i="1" a="1"/>
  <c r="I21" i="1" s="1"/>
  <c r="I22" i="1" a="1"/>
  <c r="I22" i="1" s="1"/>
  <c r="L41" i="1" l="1" a="1"/>
  <c r="L41" i="1" s="1"/>
  <c r="H41" i="1" a="1"/>
  <c r="H41" i="1" s="1"/>
  <c r="G41" i="1" a="1"/>
  <c r="G41" i="1" s="1"/>
  <c r="F41" i="1" a="1"/>
  <c r="F41" i="1" s="1"/>
  <c r="J41" i="1" a="1"/>
  <c r="J41" i="1" s="1"/>
  <c r="E41" i="1" a="1"/>
  <c r="E41" i="1" s="1"/>
  <c r="I41" i="1" a="1"/>
  <c r="I41" i="1" s="1"/>
  <c r="D41" i="1"/>
  <c r="D42" i="1"/>
  <c r="N42" i="1" s="1"/>
  <c r="D43" i="1"/>
  <c r="N43" i="1" s="1"/>
  <c r="D44" i="1"/>
  <c r="N44" i="1" s="1"/>
  <c r="D45" i="1"/>
  <c r="N45" i="1" s="1"/>
  <c r="D46" i="1"/>
  <c r="N46" i="1" s="1"/>
  <c r="D47" i="1"/>
  <c r="N47" i="1" s="1"/>
  <c r="D48" i="1"/>
  <c r="N48" i="1" s="1"/>
  <c r="D49" i="1"/>
  <c r="N49" i="1" s="1"/>
  <c r="D37" i="1"/>
  <c r="O3" i="72" a="1"/>
  <c r="AG5" i="72" s="1"/>
  <c r="N41" i="1" l="1"/>
  <c r="AD5" i="72"/>
  <c r="AE5" i="72"/>
  <c r="AF5" i="72"/>
  <c r="O3" i="72"/>
  <c r="AC5" i="72"/>
  <c r="D40" i="1"/>
  <c r="D39" i="1"/>
  <c r="D38" i="1"/>
  <c r="J37" i="1" a="1"/>
  <c r="J37" i="1" s="1"/>
  <c r="E39" i="1" a="1"/>
  <c r="E39" i="1" s="1"/>
  <c r="J39" i="1" a="1"/>
  <c r="J39" i="1" s="1"/>
  <c r="E37" i="1" a="1"/>
  <c r="E37" i="1" s="1"/>
  <c r="L37" i="1" a="1"/>
  <c r="L37" i="1" s="1"/>
  <c r="H38" i="1" a="1"/>
  <c r="H38" i="1" s="1"/>
  <c r="L39" i="1" a="1"/>
  <c r="L39" i="1" s="1"/>
  <c r="I40" i="1" a="1"/>
  <c r="I40" i="1" s="1"/>
  <c r="H40" i="1" a="1"/>
  <c r="H40" i="1" s="1"/>
  <c r="F37" i="1" a="1"/>
  <c r="F37" i="1" s="1"/>
  <c r="I38" i="1" a="1"/>
  <c r="I38" i="1" s="1"/>
  <c r="F39" i="1" a="1"/>
  <c r="F39" i="1" s="1"/>
  <c r="E40" i="1" a="1"/>
  <c r="E40" i="1" s="1"/>
  <c r="J40" i="1" a="1"/>
  <c r="J40" i="1" s="1"/>
  <c r="G38" i="1" a="1"/>
  <c r="G38" i="1" s="1"/>
  <c r="G37" i="1" a="1"/>
  <c r="G37" i="1" s="1"/>
  <c r="E38" i="1" a="1"/>
  <c r="E38" i="1" s="1"/>
  <c r="G39" i="1" a="1"/>
  <c r="G39" i="1" s="1"/>
  <c r="F40" i="1" a="1"/>
  <c r="F40" i="1" s="1"/>
  <c r="J38" i="1" a="1"/>
  <c r="J38" i="1" s="1"/>
  <c r="H39" i="1" a="1"/>
  <c r="H39" i="1" s="1"/>
  <c r="L40" i="1" a="1"/>
  <c r="L40" i="1" s="1"/>
  <c r="I37" i="1" a="1"/>
  <c r="I37" i="1" s="1"/>
  <c r="H37" i="1" a="1"/>
  <c r="H37" i="1" s="1"/>
  <c r="F38" i="1" a="1"/>
  <c r="F38" i="1" s="1"/>
  <c r="G40" i="1" a="1"/>
  <c r="G40" i="1" s="1"/>
  <c r="L38" i="1" a="1"/>
  <c r="L38" i="1" s="1"/>
  <c r="I39" i="1" a="1"/>
  <c r="I39" i="1" s="1"/>
  <c r="AA5" i="72"/>
  <c r="P5" i="72"/>
  <c r="Z5" i="72"/>
  <c r="V5" i="72"/>
  <c r="U5" i="72"/>
  <c r="T5" i="72"/>
  <c r="R5" i="72"/>
  <c r="Q5" i="72"/>
  <c r="W5" i="72"/>
  <c r="N40" i="1" l="1"/>
  <c r="N37" i="1"/>
  <c r="J36" i="1" a="1"/>
  <c r="J36" i="1" s="1"/>
  <c r="I36" i="1" a="1"/>
  <c r="I36" i="1" s="1"/>
  <c r="H36" i="1" a="1"/>
  <c r="H36" i="1" s="1"/>
  <c r="L36" i="1" a="1"/>
  <c r="L36" i="1" s="1"/>
  <c r="G36" i="1" a="1"/>
  <c r="G36" i="1" s="1"/>
  <c r="F36" i="1" a="1"/>
  <c r="F36" i="1" s="1"/>
  <c r="E36" i="1" a="1"/>
  <c r="E36" i="1" s="1"/>
  <c r="D36" i="1"/>
  <c r="N38" i="1"/>
  <c r="N39" i="1"/>
  <c r="D50" i="1" l="1"/>
  <c r="G50" i="1"/>
  <c r="L50" i="1"/>
  <c r="E50" i="1"/>
  <c r="I50" i="1"/>
  <c r="J50" i="1"/>
  <c r="F50" i="1"/>
  <c r="H50" i="1"/>
  <c r="N36" i="1"/>
  <c r="N50" i="1" s="1"/>
  <c r="F16" i="81" l="1"/>
  <c r="F15" i="81"/>
  <c r="F14" i="81"/>
  <c r="F13" i="81"/>
  <c r="F12" i="81"/>
  <c r="F11" i="81"/>
  <c r="F10" i="81"/>
  <c r="F9" i="81"/>
  <c r="F7" i="81"/>
  <c r="F6" i="81"/>
  <c r="F5" i="81"/>
  <c r="B3" i="84"/>
  <c r="B2" i="84"/>
  <c r="A3" i="84"/>
  <c r="F19" i="81" l="1"/>
  <c r="K6" i="72"/>
  <c r="K5" i="72"/>
  <c r="K4" i="72" l="1"/>
  <c r="D22" i="1" l="1"/>
  <c r="K22" i="1"/>
  <c r="H4" i="72"/>
  <c r="H3" i="72"/>
  <c r="H2" i="72"/>
  <c r="K2" i="72"/>
  <c r="N22" i="1" l="1"/>
  <c r="H5" i="72"/>
  <c r="E2" i="72"/>
  <c r="K3" i="72"/>
  <c r="K7" i="72" s="1"/>
  <c r="B4" i="72" l="1"/>
  <c r="A6" i="1" a="1"/>
  <c r="A12" i="72" a="1"/>
  <c r="A12" i="72" s="1"/>
  <c r="M7" i="1" l="1" a="1"/>
  <c r="M7" i="1" s="1"/>
  <c r="M17" i="1" a="1"/>
  <c r="M17" i="1" s="1"/>
  <c r="M8" i="1" a="1"/>
  <c r="M8" i="1" s="1"/>
  <c r="M18" i="1" a="1"/>
  <c r="M18" i="1" s="1"/>
  <c r="M9" i="1" a="1"/>
  <c r="M9" i="1" s="1"/>
  <c r="M10" i="1" a="1"/>
  <c r="M10" i="1" s="1"/>
  <c r="M11" i="1" a="1"/>
  <c r="M11" i="1" s="1"/>
  <c r="M12" i="1" a="1"/>
  <c r="M12" i="1" s="1"/>
  <c r="M15" i="1" a="1"/>
  <c r="M15" i="1" s="1"/>
  <c r="M13" i="1" a="1"/>
  <c r="M13" i="1" s="1"/>
  <c r="M14" i="1" a="1"/>
  <c r="M14" i="1" s="1"/>
  <c r="M16" i="1" a="1"/>
  <c r="M16" i="1" s="1"/>
  <c r="E10" i="1" a="1"/>
  <c r="E10" i="1" s="1"/>
  <c r="G18" i="1" a="1"/>
  <c r="G18" i="1" s="1"/>
  <c r="L18" i="1" a="1"/>
  <c r="L18" i="1" s="1"/>
  <c r="E18" i="1" a="1"/>
  <c r="E18" i="1" s="1"/>
  <c r="H18" i="1" a="1"/>
  <c r="H18" i="1" s="1"/>
  <c r="F18" i="1" a="1"/>
  <c r="F18" i="1" s="1"/>
  <c r="J18" i="1" a="1"/>
  <c r="J18" i="1" s="1"/>
  <c r="I18" i="1" a="1"/>
  <c r="I18" i="1" s="1"/>
  <c r="L8" i="1" a="1"/>
  <c r="L8" i="1" s="1"/>
  <c r="L12" i="1" a="1"/>
  <c r="L12" i="1" s="1"/>
  <c r="J13" i="1" a="1"/>
  <c r="J13" i="1" s="1"/>
  <c r="H14" i="1" a="1"/>
  <c r="H14" i="1" s="1"/>
  <c r="G16" i="1" a="1"/>
  <c r="G16" i="1" s="1"/>
  <c r="F11" i="1" a="1"/>
  <c r="F11" i="1" s="1"/>
  <c r="F17" i="1" a="1"/>
  <c r="F17" i="1" s="1"/>
  <c r="E11" i="1" a="1"/>
  <c r="E11" i="1" s="1"/>
  <c r="I14" i="1" a="1"/>
  <c r="I14" i="1" s="1"/>
  <c r="L17" i="1" a="1"/>
  <c r="L17" i="1" s="1"/>
  <c r="L9" i="1" a="1"/>
  <c r="L9" i="1" s="1"/>
  <c r="H7" i="1" a="1"/>
  <c r="H7" i="1" s="1"/>
  <c r="F7" i="1" a="1"/>
  <c r="F7" i="1" s="1"/>
  <c r="L13" i="1" a="1"/>
  <c r="L13" i="1" s="1"/>
  <c r="H15" i="1" a="1"/>
  <c r="H15" i="1" s="1"/>
  <c r="G10" i="1" a="1"/>
  <c r="G10" i="1" s="1"/>
  <c r="G17" i="1" a="1"/>
  <c r="G17" i="1" s="1"/>
  <c r="F12" i="1" a="1"/>
  <c r="F12" i="1" s="1"/>
  <c r="E12" i="1" a="1"/>
  <c r="E12" i="1" s="1"/>
  <c r="J8" i="1" a="1"/>
  <c r="J8" i="1" s="1"/>
  <c r="E8" i="1" a="1"/>
  <c r="E8" i="1" s="1"/>
  <c r="F16" i="1" a="1"/>
  <c r="F16" i="1" s="1"/>
  <c r="L10" i="1" a="1"/>
  <c r="L10" i="1" s="1"/>
  <c r="H8" i="1" a="1"/>
  <c r="H8" i="1" s="1"/>
  <c r="F8" i="1" a="1"/>
  <c r="F8" i="1" s="1"/>
  <c r="J14" i="1" a="1"/>
  <c r="J14" i="1" s="1"/>
  <c r="H16" i="1" a="1"/>
  <c r="H16" i="1" s="1"/>
  <c r="G11" i="1" a="1"/>
  <c r="G11" i="1" s="1"/>
  <c r="E13" i="1" a="1"/>
  <c r="E13" i="1" s="1"/>
  <c r="I15" i="1" a="1"/>
  <c r="I15" i="1" s="1"/>
  <c r="I10" i="1" a="1"/>
  <c r="I10" i="1" s="1"/>
  <c r="G8" i="1" a="1"/>
  <c r="G8" i="1" s="1"/>
  <c r="H13" i="1" a="1"/>
  <c r="H13" i="1" s="1"/>
  <c r="L7" i="1" a="1"/>
  <c r="L7" i="1" s="1"/>
  <c r="J9" i="1" a="1"/>
  <c r="J9" i="1" s="1"/>
  <c r="G9" i="1" a="1"/>
  <c r="G9" i="1" s="1"/>
  <c r="J12" i="1" a="1"/>
  <c r="J12" i="1" s="1"/>
  <c r="G15" i="1" a="1"/>
  <c r="G15" i="1" s="1"/>
  <c r="I13" i="1" a="1"/>
  <c r="I13" i="1" s="1"/>
  <c r="I7" i="1" a="1"/>
  <c r="I7" i="1" s="1"/>
  <c r="H9" i="1" a="1"/>
  <c r="H9" i="1" s="1"/>
  <c r="F9" i="1" a="1"/>
  <c r="F9" i="1" s="1"/>
  <c r="L14" i="1" a="1"/>
  <c r="L14" i="1" s="1"/>
  <c r="J15" i="1" a="1"/>
  <c r="J15" i="1" s="1"/>
  <c r="H10" i="1" a="1"/>
  <c r="H10" i="1" s="1"/>
  <c r="H17" i="1" a="1"/>
  <c r="H17" i="1" s="1"/>
  <c r="G12" i="1" a="1"/>
  <c r="G12" i="1" s="1"/>
  <c r="F13" i="1" a="1"/>
  <c r="F13" i="1" s="1"/>
  <c r="I16" i="1" a="1"/>
  <c r="I16" i="1" s="1"/>
  <c r="G14" i="1" a="1"/>
  <c r="G14" i="1" s="1"/>
  <c r="I12" i="1" a="1"/>
  <c r="I12" i="1" s="1"/>
  <c r="I8" i="1" a="1"/>
  <c r="I8" i="1" s="1"/>
  <c r="L15" i="1" a="1"/>
  <c r="L15" i="1" s="1"/>
  <c r="J16" i="1" a="1"/>
  <c r="J16" i="1" s="1"/>
  <c r="H11" i="1" a="1"/>
  <c r="H11" i="1" s="1"/>
  <c r="G13" i="1" a="1"/>
  <c r="G13" i="1" s="1"/>
  <c r="E14" i="1" a="1"/>
  <c r="E14" i="1" s="1"/>
  <c r="I17" i="1" a="1"/>
  <c r="I17" i="1" s="1"/>
  <c r="E15" i="1" a="1"/>
  <c r="E15" i="1" s="1"/>
  <c r="I11" i="1" a="1"/>
  <c r="I11" i="1" s="1"/>
  <c r="I9" i="1" a="1"/>
  <c r="I9" i="1" s="1"/>
  <c r="J7" i="1" a="1"/>
  <c r="J7" i="1" s="1"/>
  <c r="G7" i="1" a="1"/>
  <c r="G7" i="1" s="1"/>
  <c r="E7" i="1" a="1"/>
  <c r="E7" i="1" s="1"/>
  <c r="L16" i="1" a="1"/>
  <c r="L16" i="1" s="1"/>
  <c r="J10" i="1" a="1"/>
  <c r="J10" i="1" s="1"/>
  <c r="J17" i="1" a="1"/>
  <c r="J17" i="1" s="1"/>
  <c r="H12" i="1" a="1"/>
  <c r="H12" i="1" s="1"/>
  <c r="F14" i="1" a="1"/>
  <c r="F14" i="1" s="1"/>
  <c r="J11" i="1" a="1"/>
  <c r="J11" i="1" s="1"/>
  <c r="F15" i="1" a="1"/>
  <c r="F15" i="1" s="1"/>
  <c r="E9" i="1" a="1"/>
  <c r="E9" i="1" s="1"/>
  <c r="E16" i="1" a="1"/>
  <c r="E16" i="1" s="1"/>
  <c r="L11" i="1" a="1"/>
  <c r="L11" i="1" s="1"/>
  <c r="F10" i="1" a="1"/>
  <c r="F10" i="1" s="1"/>
  <c r="E17" i="1" a="1"/>
  <c r="E17" i="1" s="1"/>
  <c r="D9" i="1"/>
  <c r="A19" i="84"/>
  <c r="C19" i="84" s="1"/>
  <c r="A18" i="84"/>
  <c r="C18" i="84" s="1"/>
  <c r="A17" i="84"/>
  <c r="C17" i="84" s="1"/>
  <c r="C20" i="84"/>
  <c r="K21" i="1"/>
  <c r="D21" i="1"/>
  <c r="A15" i="84"/>
  <c r="C15" i="84" s="1"/>
  <c r="A16" i="84"/>
  <c r="C16" i="84" s="1"/>
  <c r="A13" i="84"/>
  <c r="C13" i="84" s="1"/>
  <c r="A7" i="84"/>
  <c r="C7" i="84" s="1"/>
  <c r="A6" i="84"/>
  <c r="C6" i="84" s="1"/>
  <c r="A12" i="84"/>
  <c r="C12" i="84" s="1"/>
  <c r="A11" i="84"/>
  <c r="C11" i="84" s="1"/>
  <c r="A9" i="84"/>
  <c r="C9" i="84" s="1"/>
  <c r="A14" i="84"/>
  <c r="C14" i="84" s="1"/>
  <c r="A10" i="84"/>
  <c r="C10" i="84" s="1"/>
  <c r="A8" i="84"/>
  <c r="C8" i="84" s="1"/>
  <c r="D19" i="1"/>
  <c r="K20" i="1"/>
  <c r="K19" i="1"/>
  <c r="D20" i="1"/>
  <c r="D18" i="1"/>
  <c r="K18" i="1"/>
  <c r="D15" i="1"/>
  <c r="K16" i="1"/>
  <c r="D17" i="1"/>
  <c r="K15" i="1"/>
  <c r="K17" i="1"/>
  <c r="D16" i="1"/>
  <c r="D14" i="1"/>
  <c r="K14" i="1"/>
  <c r="D13" i="1"/>
  <c r="K13" i="1"/>
  <c r="D12" i="1"/>
  <c r="K12" i="1"/>
  <c r="D11" i="1"/>
  <c r="K11" i="1"/>
  <c r="D8" i="1"/>
  <c r="B7" i="84" s="1"/>
  <c r="D10" i="1"/>
  <c r="D7" i="1"/>
  <c r="A6" i="1"/>
  <c r="K9" i="1"/>
  <c r="K8" i="1"/>
  <c r="K10" i="1"/>
  <c r="K7" i="1"/>
  <c r="M6" i="1" l="1" a="1"/>
  <c r="M6" i="1" s="1"/>
  <c r="M23" i="1" s="1"/>
  <c r="M53" i="1" s="1"/>
  <c r="C2" i="96" a="1"/>
  <c r="C2" i="96" s="1"/>
  <c r="D7" i="84"/>
  <c r="N21" i="1"/>
  <c r="B19" i="84"/>
  <c r="D19" i="84" s="1"/>
  <c r="N20" i="1"/>
  <c r="B18" i="84"/>
  <c r="D18" i="84" s="1"/>
  <c r="N19" i="1"/>
  <c r="N18" i="1"/>
  <c r="B9" i="84"/>
  <c r="D9" i="84" s="1"/>
  <c r="N10" i="1"/>
  <c r="B14" i="84"/>
  <c r="D14" i="84" s="1"/>
  <c r="N15" i="1"/>
  <c r="N8" i="1"/>
  <c r="B13" i="84"/>
  <c r="D13" i="84" s="1"/>
  <c r="N14" i="1"/>
  <c r="B6" i="84"/>
  <c r="D6" i="84" s="1"/>
  <c r="N7" i="1"/>
  <c r="B15" i="84"/>
  <c r="D15" i="84" s="1"/>
  <c r="N16" i="1"/>
  <c r="B12" i="84"/>
  <c r="D12" i="84" s="1"/>
  <c r="N13" i="1"/>
  <c r="B10" i="84"/>
  <c r="D10" i="84" s="1"/>
  <c r="N11" i="1"/>
  <c r="B8" i="84"/>
  <c r="D8" i="84" s="1"/>
  <c r="N9" i="1"/>
  <c r="B11" i="84"/>
  <c r="D11" i="84" s="1"/>
  <c r="N12" i="1"/>
  <c r="B16" i="84"/>
  <c r="D16" i="84" s="1"/>
  <c r="N17" i="1"/>
  <c r="C2" i="83" a="1"/>
  <c r="C2" i="83" s="1"/>
  <c r="L6" i="1" a="1"/>
  <c r="L6" i="1" s="1"/>
  <c r="F6" i="1" a="1"/>
  <c r="F6" i="1" s="1"/>
  <c r="I6" i="1" a="1"/>
  <c r="I6" i="1" s="1"/>
  <c r="J6" i="1" a="1"/>
  <c r="J6" i="1" s="1"/>
  <c r="H6" i="1" a="1"/>
  <c r="H6" i="1" s="1"/>
  <c r="G6" i="1" a="1"/>
  <c r="G6" i="1" s="1"/>
  <c r="E6" i="1" a="1"/>
  <c r="E6" i="1" s="1"/>
  <c r="D20" i="84"/>
  <c r="B17" i="84"/>
  <c r="D17" i="84" s="1"/>
  <c r="A5" i="84"/>
  <c r="C5" i="84" s="1"/>
  <c r="C22" i="84" s="1"/>
  <c r="D6" i="1"/>
  <c r="D23" i="1" s="1"/>
  <c r="K6" i="1"/>
  <c r="O2" i="96" l="1" a="1"/>
  <c r="O2" i="96" s="1"/>
  <c r="M2" i="96" a="1"/>
  <c r="M2" i="96" s="1"/>
  <c r="K2" i="96" a="1"/>
  <c r="K2" i="96" s="1"/>
  <c r="N2" i="96" a="1"/>
  <c r="N2" i="96" s="1"/>
  <c r="L2" i="96" a="1"/>
  <c r="L2" i="96" s="1"/>
  <c r="J2" i="96" a="1"/>
  <c r="J2" i="96" s="1"/>
  <c r="Q2" i="96" a="1"/>
  <c r="Q2" i="96" s="1"/>
  <c r="A1" i="96"/>
  <c r="F2" i="96" a="1"/>
  <c r="F2" i="96" s="1"/>
  <c r="E2" i="96" a="1"/>
  <c r="E2" i="96" s="1"/>
  <c r="D2" i="96" a="1"/>
  <c r="D2" i="96" s="1"/>
  <c r="H2" i="96" a="1"/>
  <c r="H2" i="96" s="1"/>
  <c r="L23" i="1"/>
  <c r="L53" i="1" s="1"/>
  <c r="P2" i="96" a="1"/>
  <c r="P2" i="96" s="1"/>
  <c r="N6" i="1"/>
  <c r="N23" i="1" s="1"/>
  <c r="N53" i="1" s="1"/>
  <c r="D2" i="83" a="1"/>
  <c r="D2" i="83" s="1"/>
  <c r="P2" i="83" a="1"/>
  <c r="P2" i="83" s="1"/>
  <c r="B5" i="84"/>
  <c r="B22" i="84" s="1"/>
  <c r="O2" i="83" a="1"/>
  <c r="O2" i="83" s="1"/>
  <c r="H2" i="83" a="1"/>
  <c r="H2" i="83" s="1"/>
  <c r="E2" i="83" a="1"/>
  <c r="E2" i="83" s="1"/>
  <c r="Q2" i="83" a="1"/>
  <c r="Q2" i="83" s="1"/>
  <c r="F2" i="83" a="1"/>
  <c r="F2" i="83" s="1"/>
  <c r="A1" i="83"/>
  <c r="K2" i="83" a="1"/>
  <c r="K2" i="83" s="1"/>
  <c r="N2" i="83" a="1"/>
  <c r="N2" i="83" s="1"/>
  <c r="M2" i="83" a="1"/>
  <c r="M2" i="83" s="1"/>
  <c r="E23" i="1"/>
  <c r="E53" i="1" s="1"/>
  <c r="J2" i="83" a="1"/>
  <c r="J2" i="83" s="1"/>
  <c r="F23" i="1"/>
  <c r="F53" i="1" s="1"/>
  <c r="L2" i="83" a="1"/>
  <c r="L2" i="83" s="1"/>
  <c r="B19" i="69" a="1"/>
  <c r="B19" i="69" s="1"/>
  <c r="D5" i="84" l="1"/>
  <c r="D10" i="69"/>
  <c r="D11" i="69"/>
  <c r="D7" i="69"/>
  <c r="D9" i="69"/>
  <c r="D22" i="84"/>
  <c r="D4" i="69"/>
  <c r="D5" i="69"/>
  <c r="B18" i="69" a="1"/>
  <c r="B18" i="69" s="1"/>
  <c r="B17" i="69" a="1"/>
  <c r="B17" i="69" s="1"/>
  <c r="D13" i="69" l="1"/>
  <c r="D14" i="69"/>
  <c r="D8" i="69"/>
  <c r="D12" i="69"/>
  <c r="D3" i="69"/>
  <c r="D6" i="69"/>
  <c r="D2" i="69"/>
  <c r="H5" i="62" l="1"/>
  <c r="L5" i="62"/>
  <c r="L6" i="62"/>
  <c r="L14" i="62" s="1"/>
  <c r="L10" i="62"/>
  <c r="L12" i="62" l="1"/>
  <c r="L13" i="62" s="1"/>
  <c r="L3" i="56" l="1"/>
  <c r="L4" i="56"/>
  <c r="H5" i="57" l="1"/>
  <c r="L5" i="57"/>
  <c r="L6" i="57"/>
  <c r="L14" i="57" s="1"/>
  <c r="L10" i="57"/>
  <c r="L12" i="57" l="1"/>
  <c r="L13" i="57" s="1"/>
  <c r="L10" i="66" l="1"/>
  <c r="L6" i="66"/>
  <c r="L14" i="66" s="1"/>
  <c r="L5" i="66"/>
  <c r="H5" i="66"/>
  <c r="L10" i="65"/>
  <c r="L6" i="65"/>
  <c r="L14" i="65" s="1"/>
  <c r="L5" i="65"/>
  <c r="H5" i="65"/>
  <c r="L10" i="64"/>
  <c r="L6" i="64"/>
  <c r="L14" i="64" s="1"/>
  <c r="L5" i="64"/>
  <c r="H5" i="64"/>
  <c r="L10" i="63"/>
  <c r="L6" i="63"/>
  <c r="L14" i="63" s="1"/>
  <c r="L5" i="63"/>
  <c r="H5" i="63"/>
  <c r="L10" i="61"/>
  <c r="L6" i="61"/>
  <c r="L14" i="61" s="1"/>
  <c r="L5" i="61"/>
  <c r="H5" i="61"/>
  <c r="L10" i="60"/>
  <c r="L6" i="60"/>
  <c r="L14" i="60" s="1"/>
  <c r="L5" i="60"/>
  <c r="H5" i="60"/>
  <c r="L10" i="59"/>
  <c r="L6" i="59"/>
  <c r="L14" i="59" s="1"/>
  <c r="L5" i="59"/>
  <c r="H5" i="59"/>
  <c r="L10" i="58"/>
  <c r="L6" i="58"/>
  <c r="L14" i="58" s="1"/>
  <c r="L5" i="58"/>
  <c r="H5" i="58"/>
  <c r="L2" i="56"/>
  <c r="L12" i="58" l="1"/>
  <c r="L13" i="58" s="1"/>
  <c r="L12" i="60"/>
  <c r="L13" i="60" s="1"/>
  <c r="L12" i="65"/>
  <c r="L13" i="65" s="1"/>
  <c r="L12" i="61"/>
  <c r="L13" i="61" s="1"/>
  <c r="L12" i="64"/>
  <c r="L13" i="64" s="1"/>
  <c r="L12" i="66"/>
  <c r="L13" i="66" s="1"/>
  <c r="L12" i="59"/>
  <c r="L12" i="63"/>
  <c r="L13" i="59" l="1"/>
  <c r="L13" i="63"/>
  <c r="O23" i="1" l="1"/>
  <c r="P23" i="1"/>
  <c r="H23" i="1" l="1"/>
  <c r="H53" i="1" s="1"/>
  <c r="J23" i="1"/>
  <c r="J53" i="1" s="1"/>
  <c r="I23" i="1"/>
  <c r="I53" i="1" s="1"/>
  <c r="G23" i="1" l="1"/>
  <c r="G53" i="1" s="1"/>
  <c r="D53" i="1" l="1"/>
  <c r="B24" i="84" l="1"/>
  <c r="K23" i="1"/>
  <c r="K5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41E78F4-38D0-4095-A8A5-DC78A0940387}" keepAlive="1" name="Query - AAA Fuel Price" description="Connection to the 'AAA Fuel Price' query in the workbook." type="5" refreshedVersion="0" background="1">
    <dbPr connection="Provider=Microsoft.Mashup.OleDb.1;Data Source=$Workbook$;Location=&quot;AAA Fuel Price&quot;;Extended Properties=&quot;&quot;" command="SELECT * FROM [AAA Fuel Price]"/>
  </connection>
  <connection id="2" xr16:uid="{CF721E41-6D65-4911-A3B9-13FB3E089BD8}" keepAlive="1" name="Query - CoastTransactions" description="Connection to the 'CoastTransactions' query in the workbook." type="5" refreshedVersion="8" background="1" saveData="1">
    <dbPr connection="Provider=Microsoft.Mashup.OleDb.1;Data Source=$Workbook$;Location=CoastTransactions;Extended Properties=&quot;&quot;" command="SELECT * FROM [CoastTransactions]"/>
  </connection>
  <connection id="3" xr16:uid="{8B1EBF4C-347B-40DE-8F82-880DCABF87D3}" keepAlive="1" name="Query - CoastTransactionsChecks" description="Connection to the 'CoastTransactionsChecks' query in the workbook." type="5" refreshedVersion="8" background="1" saveData="1">
    <dbPr connection="Provider=Microsoft.Mashup.OleDb.1;Data Source=$Workbook$;Location=CoastTransactionsChecks;Extended Properties=&quot;&quot;" command="SELECT * FROM [CoastTransactionsChecks]"/>
  </connection>
  <connection id="4" xr16:uid="{31A2BD30-09E4-4DEC-A653-2DF40A39BA75}" keepAlive="1" name="Query - Deductions" description="Connection to the 'Deductions' query in the workbook." type="5" refreshedVersion="8" background="1" saveData="1">
    <dbPr connection="Provider=Microsoft.Mashup.OleDb.1;Data Source=$Workbook$;Location=Deductions;Extended Properties=&quot;&quot;" command="SELECT * FROM [Deductions]"/>
  </connection>
  <connection id="5" xr16:uid="{227AED86-A5A3-4870-8B25-450898A21F72}" keepAlive="1" name="Query - Div10PartnerDetails" description="Connection to the 'Div10PartnerDetails' query in the workbook." type="5" refreshedVersion="8" background="1" saveData="1">
    <dbPr connection="Provider=Microsoft.Mashup.OleDb.1;Data Source=$Workbook$;Location=Div10PartnerDetails;Extended Properties=&quot;&quot;" command="SELECT * FROM [Div10PartnerDetails]"/>
  </connection>
  <connection id="6" xr16:uid="{53261B1D-2F67-4DE9-B1DB-DB3A6D34EED1}" keepAlive="1" name="Query - DIV10PartnerList" description="Connection to the 'DIV10PartnerList' query in the workbook." type="5" refreshedVersion="8" background="1" saveData="1">
    <dbPr connection="Provider=Microsoft.Mashup.OleDb.1;Data Source=$Workbook$;Location=DIV10PartnerList;Extended Properties=&quot;&quot;" command="SELECT * FROM [DIV10PartnerList]"/>
  </connection>
  <connection id="7" xr16:uid="{B8D31C09-72AE-460E-BFEA-8FD1B0C3D31B}" keepAlive="1" name="Query - Div10PartnerListUber" description="Connection to the 'Div10PartnerListUber' query in the workbook." type="5" refreshedVersion="8" background="1" saveData="1">
    <dbPr connection="Provider=Microsoft.Mashup.OleDb.1;Data Source=$Workbook$;Location=Div10PartnerListUber;Extended Properties=&quot;&quot;" command="SELECT * FROM [Div10PartnerListUber]"/>
  </connection>
  <connection id="8" xr16:uid="{8411C226-4366-49B0-A98C-4992EAAC7C8F}" keepAlive="1" name="Query - JasperReport" description="Connection to the 'JasperReport' query in the workbook." type="5" refreshedVersion="8" background="1" saveData="1">
    <dbPr connection="Provider=Microsoft.Mashup.OleDb.1;Data Source=$Workbook$;Location=JasperReport;Extended Properties=&quot;&quot;" command="SELECT * FROM [JasperReport]"/>
  </connection>
  <connection id="9" xr16:uid="{C517ADFE-2295-4C11-95F5-1372F40CFDD2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0" xr16:uid="{D6799282-A43C-463A-BF8C-624F6F0D39AC}" keepAlive="1" name="Query - PartnerList" description="Connection to the 'PartnerList' query in the workbook." type="5" refreshedVersion="0" background="1">
    <dbPr connection="Provider=Microsoft.Mashup.OleDb.1;Data Source=$Workbook$;Location=PartnerList;Extended Properties=&quot;&quot;" command="SELECT * FROM [PartnerList]"/>
  </connection>
  <connection id="11" xr16:uid="{CB892AAB-98AC-4AAB-B90F-1AB12EDF3985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12" xr16:uid="{7816961D-0E05-47C4-8B81-FB39B71D28E8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13" xr16:uid="{64837077-9C8F-46FB-AA77-F759510AEBE0}" keepAlive="1" name="Query - Period" description="Connection to the 'Period' query in the workbook." type="5" refreshedVersion="0" background="1">
    <dbPr connection="Provider=Microsoft.Mashup.OleDb.1;Data Source=$Workbook$;Location=Period;Extended Properties=&quot;&quot;" command="SELECT * FROM [Period]"/>
  </connection>
  <connection id="14" xr16:uid="{05082383-546B-43D7-AF8B-55780AE75432}" keepAlive="1" name="Query - Query1(1)" description="Connection to the 'Query1' query in the workbook." type="5" refreshedVersion="0" background="1">
    <dbPr connection="Provider=Microsoft.Mashup.OleDb.1;Data Source=$Workbook$;Location=Query1;Extended Properties=&quot;&quot;" command="SELECT * FROM [Query1]"/>
  </connection>
  <connection id="15" xr16:uid="{B7C018AB-104C-4838-91AF-E5A17403E3CE}" keepAlive="1" name="Query - Rates" description="Connection to the 'Rates' query in the workbook." type="5" refreshedVersion="0" background="1">
    <dbPr connection="Provider=Microsoft.Mashup.OleDb.1;Data Source=$Workbook$;Location=Rates;Extended Properties=&quot;&quot;" command="SELECT * FROM [Rates]"/>
  </connection>
  <connection id="16" xr16:uid="{57E0362C-B143-4C8C-A025-D3139EEB7478}" keepAlive="1" name="Query - SumUberReport" description="Connection to the 'SumUberReport' query in the workbook." type="5" refreshedVersion="8" background="1" saveData="1">
    <dbPr connection="Provider=Microsoft.Mashup.OleDb.1;Data Source=$Workbook$;Location=SumUberReport;Extended Properties=&quot;&quot;" command="SELECT * FROM [SumUberReport]"/>
  </connection>
  <connection id="17" xr16:uid="{B044347D-4CBD-49C0-B0F7-E97E3F97AFC9}" keepAlive="1" name="Query - Tolls" description="Connection to the 'Tolls' query in the workbook." type="5" refreshedVersion="0" background="1">
    <dbPr connection="Provider=Microsoft.Mashup.OleDb.1;Data Source=$Workbook$;Location=Tolls;Extended Properties=&quot;&quot;" command="SELECT * FROM [Tolls]"/>
  </connection>
  <connection id="18" xr16:uid="{D5C4D202-9AEB-4734-A0DD-B4C8087C3EA0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9" xr16:uid="{7811A270-A640-424F-AAB5-110EA7D85519}" keepAlive="1" name="Query - TrapezeFuel" description="Connection to the 'TrapezeFuel' query in the workbook." type="5" refreshedVersion="8" background="1" saveData="1">
    <dbPr connection="Provider=Microsoft.Mashup.OleDb.1;Data Source=$Workbook$;Location=TrapezeFuel;Extended Properties=&quot;&quot;" command="SELECT * FROM [TrapezeFuel]"/>
  </connection>
  <connection id="20" xr16:uid="{072CAA23-71DA-498B-9F70-A3D17A00D95E}" keepAlive="1" name="Query - TrapezeReport" description="Connection to the 'TrapezeReport' query in the workbook." type="5" refreshedVersion="8" background="1" saveData="1">
    <dbPr connection="Provider=Microsoft.Mashup.OleDb.1;Data Source=$Workbook$;Location=TrapezeReport;Extended Properties=&quot;&quot;" command="SELECT * FROM [TrapezeReport]"/>
  </connection>
  <connection id="21" xr16:uid="{6863F3B6-F9F8-455B-BF5F-E55855436600}" keepAlive="1" name="Query - TrapezeReportChecks" description="Connection to the 'TrapezeReportChecks' query in the workbook." type="5" refreshedVersion="8" background="1" saveData="1">
    <dbPr connection="Provider=Microsoft.Mashup.OleDb.1;Data Source=$Workbook$;Location=TrapezeReportChecks;Extended Properties=&quot;&quot;" command="SELECT * FROM [TrapezeReportChecks]"/>
  </connection>
  <connection id="22" xr16:uid="{D622C94E-5D11-4B27-8555-9E969A6D5AF1}" keepAlive="1" name="Query - TripRate" description="Connection to the 'TripRate' query in the workbook." type="5" refreshedVersion="0" background="1">
    <dbPr connection="Provider=Microsoft.Mashup.OleDb.1;Data Source=$Workbook$;Location=TripRate;Extended Properties=&quot;&quot;" command="SELECT * FROM [TripRate]"/>
  </connection>
  <connection id="23" xr16:uid="{3C6AAADF-C40C-4AE4-A0C9-C826548341A2}" keepAlive="1" name="Query - UberReport" description="Connection to the 'UberReport' query in the workbook." type="5" refreshedVersion="8" background="1" saveData="1">
    <dbPr connection="Provider=Microsoft.Mashup.OleDb.1;Data Source=$Workbook$;Location=UberReport;Extended Properties=&quot;&quot;" command="SELECT * FROM [UberRe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<sst xmlns="http://schemas.openxmlformats.org/spreadsheetml/2006/main" count="2681" uniqueCount="389">
  <si>
    <t>Operator</t>
  </si>
  <si>
    <t>Date</t>
  </si>
  <si>
    <t>Amount</t>
  </si>
  <si>
    <t>Payment</t>
  </si>
  <si>
    <t>Start Date</t>
  </si>
  <si>
    <t>SortKey</t>
  </si>
  <si>
    <t>Keymolen, Jeovanny</t>
  </si>
  <si>
    <t>Sign on Bonus</t>
  </si>
  <si>
    <t>Yes</t>
  </si>
  <si>
    <t>Kakesa, Marcel</t>
  </si>
  <si>
    <t>TBL WILL SEND OUT THE STATEMENT TO THE PARTNERS AFTER IT HAS BEEN APPROVED BY MANAGEMENT</t>
  </si>
  <si>
    <t>Week#</t>
  </si>
  <si>
    <t>End Date</t>
  </si>
  <si>
    <t>Fare Rate</t>
  </si>
  <si>
    <t>Week 1</t>
  </si>
  <si>
    <t>Week 2</t>
  </si>
  <si>
    <t>Uber Pay Period</t>
  </si>
  <si>
    <t>Utilization Target</t>
  </si>
  <si>
    <t>Tier 1 ARDCRI Rate</t>
  </si>
  <si>
    <t>Tier 2 ARDCRI Rate</t>
  </si>
  <si>
    <t xml:space="preserve"> DEDUCTIONS </t>
  </si>
  <si>
    <t>Earnings</t>
  </si>
  <si>
    <t xml:space="preserve">Other Earnings </t>
  </si>
  <si>
    <t>INVOICE PAY</t>
  </si>
  <si>
    <t>File #</t>
  </si>
  <si>
    <t>Email</t>
  </si>
  <si>
    <t>Trips</t>
  </si>
  <si>
    <t>Misc</t>
  </si>
  <si>
    <t>Bonus</t>
  </si>
  <si>
    <t xml:space="preserve">Reimbursement </t>
  </si>
  <si>
    <t>Credentials</t>
  </si>
  <si>
    <t xml:space="preserve"> Lift Lease </t>
  </si>
  <si>
    <t>Violation</t>
  </si>
  <si>
    <t>Cash Collected</t>
  </si>
  <si>
    <t>Other Deduction</t>
  </si>
  <si>
    <t>Fuel Overspending</t>
  </si>
  <si>
    <t xml:space="preserve"> Amount </t>
  </si>
  <si>
    <t>DIV10_TRIMET</t>
  </si>
  <si>
    <t>DDOT FULE PASS THROUGH</t>
  </si>
  <si>
    <t>Week</t>
  </si>
  <si>
    <t>PPG</t>
  </si>
  <si>
    <t>Fuel Surcharge Rate Week Ending</t>
  </si>
  <si>
    <t xml:space="preserve">WAV MPG </t>
  </si>
  <si>
    <t>SEDAN MPG</t>
  </si>
  <si>
    <t>UBER WAV TRANSIT</t>
  </si>
  <si>
    <t>Select Partner</t>
  </si>
  <si>
    <t>EARNINGS</t>
  </si>
  <si>
    <t>OTHER REVENUES</t>
  </si>
  <si>
    <t>DEDUCTIONS</t>
  </si>
  <si>
    <t>Contract Hours Incentive</t>
  </si>
  <si>
    <t>Acceptance and Cancellation Incentive</t>
  </si>
  <si>
    <t>DHARON DEPASS</t>
  </si>
  <si>
    <t>Trip</t>
  </si>
  <si>
    <t>Bonuses</t>
  </si>
  <si>
    <t>WeekN</t>
  </si>
  <si>
    <t>Allowable Hours</t>
  </si>
  <si>
    <t>Online Hours</t>
  </si>
  <si>
    <t>Payable Online Hours</t>
  </si>
  <si>
    <t>% of Hours to Forecast</t>
  </si>
  <si>
    <t>Core Hours Rev</t>
  </si>
  <si>
    <t>20% of Base Rate</t>
  </si>
  <si>
    <t>10% of Base Rate</t>
  </si>
  <si>
    <t>5% of Base Rate</t>
  </si>
  <si>
    <t>Acceptance Rate</t>
  </si>
  <si>
    <t>Cancellation Rate</t>
  </si>
  <si>
    <t>Utilization%</t>
  </si>
  <si>
    <t>Utilization Rev</t>
  </si>
  <si>
    <t>Driver Tips</t>
  </si>
  <si>
    <t>Tolls</t>
  </si>
  <si>
    <t xml:space="preserve">Driver Earnings Excl </t>
  </si>
  <si>
    <t>Total Rev</t>
  </si>
  <si>
    <t>Other Earnings Misc</t>
  </si>
  <si>
    <t>Total</t>
  </si>
  <si>
    <t>CASH COLLECTED</t>
  </si>
  <si>
    <t>Fuel</t>
  </si>
  <si>
    <t>TOTAL OTHER REVENUES:</t>
  </si>
  <si>
    <t xml:space="preserve"> Reimbursable</t>
  </si>
  <si>
    <t>Other Deductions</t>
  </si>
  <si>
    <t>Overspending</t>
  </si>
  <si>
    <t>HOURLY DATA</t>
  </si>
  <si>
    <t>UBER TRIPS</t>
  </si>
  <si>
    <t>Vehicle Type</t>
  </si>
  <si>
    <t>Trips completed</t>
  </si>
  <si>
    <t>Manifests</t>
  </si>
  <si>
    <t>Operator Lunch</t>
  </si>
  <si>
    <t>Hours Operated</t>
  </si>
  <si>
    <t>Revenue Hours Operated</t>
  </si>
  <si>
    <t>Service Miles Operated</t>
  </si>
  <si>
    <t>Partner</t>
  </si>
  <si>
    <t>Trip Base Rate</t>
  </si>
  <si>
    <t>TTL Rev</t>
  </si>
  <si>
    <t>Cash Fares Collected</t>
  </si>
  <si>
    <t>First_Name</t>
  </si>
  <si>
    <t>Last_Name</t>
  </si>
  <si>
    <t>Total Comp Trips</t>
  </si>
  <si>
    <t>Total Supply Hours</t>
  </si>
  <si>
    <t>Paused Hours</t>
  </si>
  <si>
    <t>Driver_Earnings_Excl_Tips</t>
  </si>
  <si>
    <t>Driver_Tips</t>
  </si>
  <si>
    <t>Count</t>
  </si>
  <si>
    <t>Calcuated</t>
  </si>
  <si>
    <t>Trip Rate</t>
  </si>
  <si>
    <t>PARTNER NAME</t>
  </si>
  <si>
    <t>OPERATOR NAME</t>
  </si>
  <si>
    <t>CLIENT TYPE</t>
  </si>
  <si>
    <t>VEHICLE TYPE</t>
  </si>
  <si>
    <t>EMAIL</t>
  </si>
  <si>
    <t>FILE #</t>
  </si>
  <si>
    <t>CLIENT TYPE - Copy</t>
  </si>
  <si>
    <t>JAMAAL PERRY</t>
  </si>
  <si>
    <t>UBER WAV</t>
  </si>
  <si>
    <t>jamaalp100@gmail.com</t>
  </si>
  <si>
    <t>FLASH LOGISTICS LLC</t>
  </si>
  <si>
    <t>DAMASO ALCAIRE</t>
  </si>
  <si>
    <t>flashlogisticss@proton.me</t>
  </si>
  <si>
    <t>BAMS TRANSIT</t>
  </si>
  <si>
    <t>ANTOINETTE SMITH</t>
  </si>
  <si>
    <t>shortidobop84@yahoo.com</t>
  </si>
  <si>
    <t>depassdharon.dd@gmail.com</t>
  </si>
  <si>
    <t>SIMON NJOGU</t>
  </si>
  <si>
    <t>DOMINIQUE CARR</t>
  </si>
  <si>
    <t>dominiquecarr66@gmail.com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</si>
  <si>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</si>
  <si>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</si>
  <si>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</si>
  <si>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</si>
  <si>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</si>
  <si>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</si>
  <si>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</si>
  <si>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</si>
  <si>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Reimbursement</t>
  </si>
  <si>
    <t>Credentialing</t>
  </si>
  <si>
    <t>Lift Lease</t>
  </si>
  <si>
    <t>Immediate/Advance</t>
  </si>
  <si>
    <t>% of Hours to Required</t>
  </si>
  <si>
    <t>CHI Tier 1 Rev</t>
  </si>
  <si>
    <t>CHI Tier 2 Rev</t>
  </si>
  <si>
    <t>CHI Tier 3 Rev</t>
  </si>
  <si>
    <t>Tier 1 ARDCRI KPI Rev</t>
  </si>
  <si>
    <t>Tier 2 ARDCRI KPI Rev</t>
  </si>
  <si>
    <t>CHI Non-KPI</t>
  </si>
  <si>
    <t>Required</t>
  </si>
  <si>
    <t>CHI Rev</t>
  </si>
  <si>
    <t>Tier 1 ARDCRI KPI</t>
  </si>
  <si>
    <t>Tier 2 ARDCRI KPI</t>
  </si>
  <si>
    <t>Total Expired Offers</t>
  </si>
  <si>
    <t>Total ARDCRI KPI Rev</t>
  </si>
  <si>
    <t>Approved Extra Hours</t>
  </si>
  <si>
    <t>Payable Bonus Hours</t>
  </si>
  <si>
    <t>Bonus Hours Rev</t>
  </si>
  <si>
    <t>WAV Trips</t>
  </si>
  <si>
    <t>Non WAV Trips</t>
  </si>
  <si>
    <t>Utilized Hours</t>
  </si>
  <si>
    <t>Open Hours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</si>
  <si>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</si>
  <si>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</si>
  <si>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</si>
  <si>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</si>
  <si>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</si>
  <si>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</si>
  <si>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KPI Hours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</si>
  <si>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</si>
  <si>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</si>
  <si>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</si>
  <si>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</si>
  <si>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</si>
  <si>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</si>
  <si>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</si>
  <si>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</si>
  <si>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</si>
  <si>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Utilization Incentive Rate</t>
  </si>
  <si>
    <t>Normal Hours</t>
  </si>
  <si>
    <t>Bonus Hours</t>
  </si>
  <si>
    <t>ARDCRI Non KPI</t>
  </si>
  <si>
    <t>Driver Earnings Excl Tips</t>
  </si>
  <si>
    <t>Driver_UUID</t>
  </si>
  <si>
    <t>Total_Expired_Offers</t>
  </si>
  <si>
    <t>Core Hours_Total Supply Hours</t>
  </si>
  <si>
    <t>Core Hours_Utilized Hours</t>
  </si>
  <si>
    <t>Trips per Hour</t>
  </si>
  <si>
    <t>Total_Accepts</t>
  </si>
  <si>
    <t>Total_Rejects</t>
  </si>
  <si>
    <t>Total_Cancels</t>
  </si>
  <si>
    <t>Tier 1 ARDCRI</t>
  </si>
  <si>
    <t>Tier 2 ARDCRI</t>
  </si>
  <si>
    <t>Non KPI</t>
  </si>
  <si>
    <t>Operators Name</t>
  </si>
  <si>
    <t>DOMINIQUE</t>
  </si>
  <si>
    <t>CARR</t>
  </si>
  <si>
    <t>1483bda0-06a2-4e6c-9e55-38f153456011</t>
  </si>
  <si>
    <t>JAMAAL</t>
  </si>
  <si>
    <t>PERRY</t>
  </si>
  <si>
    <t>ab046ec8-fce8-4917-80d6-6c7a15e841a7</t>
  </si>
  <si>
    <t>ANTOINETTE</t>
  </si>
  <si>
    <t>SMITH</t>
  </si>
  <si>
    <t>582043a5-cf5a-4491-b5ca-73fc4d9f8e22</t>
  </si>
  <si>
    <t>DHARON</t>
  </si>
  <si>
    <t>DEPASS</t>
  </si>
  <si>
    <t>d91dd650-bf74-41d1-bbee-dedc000724eb</t>
  </si>
  <si>
    <t>Ride Date</t>
  </si>
  <si>
    <t>Route</t>
  </si>
  <si>
    <t>Fare Type</t>
  </si>
  <si>
    <t>Operator Name</t>
  </si>
  <si>
    <t>DIV10PartnerList.PARTNER NAME</t>
  </si>
  <si>
    <t>901</t>
  </si>
  <si>
    <t>ALCAIRE, DAMASO</t>
  </si>
  <si>
    <t>908</t>
  </si>
  <si>
    <t>KIRUMIRA, MPAGI</t>
  </si>
  <si>
    <t>VAMONOS TRANSPORTATION LLC</t>
  </si>
  <si>
    <t>902</t>
  </si>
  <si>
    <t>FLORES CALDERON, ANDY</t>
  </si>
  <si>
    <t>MVO TRANSPORTATION</t>
  </si>
  <si>
    <t>905</t>
  </si>
  <si>
    <t>HIZA TORRICO, ALEJANDRO</t>
  </si>
  <si>
    <t>ARISESIZ LLC</t>
  </si>
  <si>
    <t>911</t>
  </si>
  <si>
    <t>MUGENZI, INNOCENT</t>
  </si>
  <si>
    <t>JUST EASY ACCESS RIDE LLC</t>
  </si>
  <si>
    <t>913</t>
  </si>
  <si>
    <t>ROBY, ARVIN</t>
  </si>
  <si>
    <t>907</t>
  </si>
  <si>
    <t>ROADRUNNERLIFT23 LLC</t>
  </si>
  <si>
    <t>904</t>
  </si>
  <si>
    <t>MERRILL, TIMOTHY</t>
  </si>
  <si>
    <t>MTIGER TRANSPORTATION</t>
  </si>
  <si>
    <t>903</t>
  </si>
  <si>
    <t>DENEBO, FIRAOL</t>
  </si>
  <si>
    <t>ANGELES TRANSPORTATION, LLC</t>
  </si>
  <si>
    <t>Manifest</t>
  </si>
  <si>
    <t>Lunch</t>
  </si>
  <si>
    <t>Hours</t>
  </si>
  <si>
    <t>Miles</t>
  </si>
  <si>
    <t>LIFT VAN</t>
  </si>
  <si>
    <t>PARTNER</t>
  </si>
  <si>
    <t xml:space="preserve"> Lift Lease Rate</t>
  </si>
  <si>
    <t xml:space="preserve">Lift Lease </t>
  </si>
  <si>
    <t>LIFT LEASE TOTAL</t>
  </si>
  <si>
    <t xml:space="preserve">Other Income </t>
  </si>
  <si>
    <t>Type</t>
  </si>
  <si>
    <t>TRANSDEV</t>
  </si>
  <si>
    <t>UBER</t>
  </si>
  <si>
    <t>MvOtransportation503@gmail.com</t>
  </si>
  <si>
    <t>mugenzijustin4@gmail.com</t>
  </si>
  <si>
    <t>Ahizaexll@gmail.com</t>
  </si>
  <si>
    <t>mike@roadrunnerlift.com</t>
  </si>
  <si>
    <t>mtiger7514@gmail.com</t>
  </si>
  <si>
    <t>mpagi0752@gmail.com</t>
  </si>
  <si>
    <t>angelestransportationllc@gmail.com</t>
  </si>
  <si>
    <t>arviroby83@gmail.com</t>
  </si>
  <si>
    <t>PARTNER ABRIVATION</t>
  </si>
  <si>
    <t>RUNS COVERED</t>
  </si>
  <si>
    <t>CLI</t>
  </si>
  <si>
    <t>CHECK HOURS COLUMN-(BLANK) PARTNER NAME SHOULD BE ZERO</t>
  </si>
  <si>
    <t>Partners with Zero Trip Base Rate = Missing Rate</t>
  </si>
  <si>
    <t>Check for missing partners</t>
  </si>
  <si>
    <t>Must match</t>
  </si>
  <si>
    <t>Coast Report Not Match Partner List</t>
  </si>
  <si>
    <t>Jasper</t>
  </si>
  <si>
    <t>Trapeze</t>
  </si>
  <si>
    <t xml:space="preserve">MANIFEST </t>
  </si>
  <si>
    <t>Sum of Trips</t>
  </si>
  <si>
    <t>Row Labels</t>
  </si>
  <si>
    <t>Grand Total</t>
  </si>
  <si>
    <t>Sum of Cash Fares Collected</t>
  </si>
  <si>
    <t>(blank)</t>
  </si>
  <si>
    <t>Sum of Amount</t>
  </si>
  <si>
    <t>906</t>
  </si>
  <si>
    <t>DOMINQUE CARR</t>
  </si>
  <si>
    <t>909</t>
  </si>
  <si>
    <t>910</t>
  </si>
  <si>
    <t>912</t>
  </si>
  <si>
    <t>No Data</t>
  </si>
  <si>
    <t>Hourly Base Rate</t>
  </si>
  <si>
    <t>StartDate</t>
  </si>
  <si>
    <t>EndDate</t>
  </si>
  <si>
    <t>Driver Name</t>
  </si>
  <si>
    <t>Folder</t>
  </si>
  <si>
    <t>FileName</t>
  </si>
  <si>
    <t>Filepath</t>
  </si>
  <si>
    <t>Link</t>
  </si>
  <si>
    <t>Trapeze Hrs RAW DATA</t>
  </si>
  <si>
    <t>FilePath1</t>
  </si>
  <si>
    <t>Jasper Trips RAW DATA</t>
  </si>
  <si>
    <t>FilePath4</t>
  </si>
  <si>
    <t>DIV10 Partner List.xlsx</t>
  </si>
  <si>
    <t>FilePath2</t>
  </si>
  <si>
    <t>New Partner Rates.xlsx</t>
  </si>
  <si>
    <t>FilePath6</t>
  </si>
  <si>
    <t>Operator Deductions-Other Earnings.xlsx</t>
  </si>
  <si>
    <t>FilePath5</t>
  </si>
  <si>
    <t>Uber Raw Data</t>
  </si>
  <si>
    <t>FilePath7</t>
  </si>
  <si>
    <t>DIV 10 Partner Rates -Uber.xlsx</t>
  </si>
  <si>
    <t>FilePath8</t>
  </si>
  <si>
    <t>DIV 10 Partner List - Uber.xlsx</t>
  </si>
  <si>
    <t>FilePath9</t>
  </si>
  <si>
    <t>Partner Changes.xlsx</t>
  </si>
  <si>
    <t>FilePath10</t>
  </si>
  <si>
    <t>Coast Transactions</t>
  </si>
  <si>
    <t>FilePath11</t>
  </si>
  <si>
    <t>AAA Fuel Price.xlsx</t>
  </si>
  <si>
    <t>FilePath12</t>
  </si>
  <si>
    <t>FilePath13</t>
  </si>
  <si>
    <t>Current FilePath</t>
  </si>
  <si>
    <t>Host Folder</t>
  </si>
  <si>
    <t>Upper Folder</t>
  </si>
  <si>
    <t>User</t>
  </si>
  <si>
    <t>Gallons</t>
  </si>
  <si>
    <t>Cost Per Gallon</t>
  </si>
  <si>
    <t>Computed Amount</t>
  </si>
  <si>
    <t>Diff</t>
  </si>
  <si>
    <t>ALL THESE ARE UBER DRIVERS</t>
  </si>
  <si>
    <t>Total Miles</t>
  </si>
  <si>
    <t>Fuel Rate</t>
  </si>
  <si>
    <t>Calculated Gallons (@19MilesPerGallon)</t>
  </si>
  <si>
    <t>Calculated Fuel Cost</t>
  </si>
  <si>
    <t>Date     </t>
  </si>
  <si>
    <t xml:space="preserve">Run Name </t>
  </si>
  <si>
    <t>Driver     </t>
  </si>
  <si>
    <t>Vehicle     </t>
  </si>
  <si>
    <t>PassengerID     </t>
  </si>
  <si>
    <t>LoadType     </t>
  </si>
  <si>
    <t>FareType     </t>
  </si>
  <si>
    <t>FareAmt     </t>
  </si>
  <si>
    <t>TripID     </t>
  </si>
  <si>
    <t>EquipmentType     </t>
  </si>
  <si>
    <t>TripDist     </t>
  </si>
  <si>
    <t>Base</t>
  </si>
  <si>
    <t>INSERT COPIED CELLS HERE</t>
  </si>
  <si>
    <t>Route     </t>
  </si>
  <si>
    <t>PassID     </t>
  </si>
  <si>
    <t>FareCollected     </t>
  </si>
  <si>
    <t>TripID</t>
  </si>
  <si>
    <t>INSERT COPIED ROWS HERE DO NOT DELETE THIS LINE</t>
  </si>
  <si>
    <t>Token Fares</t>
  </si>
  <si>
    <t>Per Trip REVENUE</t>
  </si>
  <si>
    <t>Additional REV</t>
  </si>
  <si>
    <t>Fuel/Veh Surcharge</t>
  </si>
  <si>
    <t>Lease</t>
  </si>
  <si>
    <t>VDP Remittance</t>
  </si>
  <si>
    <t>Total Earnings</t>
  </si>
  <si>
    <t>TRIP</t>
  </si>
  <si>
    <t>FUEL</t>
  </si>
  <si>
    <t>OTHER</t>
  </si>
  <si>
    <t>REIMB</t>
  </si>
  <si>
    <t>99BON</t>
  </si>
  <si>
    <t>LEASE</t>
  </si>
  <si>
    <t>VIOLA</t>
  </si>
  <si>
    <t>OTERD</t>
  </si>
  <si>
    <t>CASHC</t>
  </si>
  <si>
    <t>IMP</t>
  </si>
  <si>
    <t>Sum of Online Hours</t>
  </si>
  <si>
    <t>Sum of Payable Online Hours</t>
  </si>
  <si>
    <t>MICHAEL</t>
  </si>
  <si>
    <t>WOOLWINE</t>
  </si>
  <si>
    <t>98f08278-b9db-40d2-8bfc-c28f8b01f7a6</t>
  </si>
  <si>
    <t>MICHAEL WOOLWINE</t>
  </si>
  <si>
    <t>Cash</t>
  </si>
  <si>
    <t>OSMANOVIC, EDIS</t>
  </si>
  <si>
    <t>KENNEDY, PAUL</t>
  </si>
  <si>
    <t>PAUL KENNEDY</t>
  </si>
  <si>
    <t>ANTHONY PUGH</t>
  </si>
  <si>
    <t>ARVIN ROBY</t>
  </si>
  <si>
    <t>ANDY CALDERON FLOREZ</t>
  </si>
  <si>
    <t>TIMOTHY MERRILL</t>
  </si>
  <si>
    <t>ALEJANDRO HIZA TORRICO</t>
  </si>
  <si>
    <t>INNOCENT MUGENZI</t>
  </si>
  <si>
    <t>FIRAOL DENEBO</t>
  </si>
  <si>
    <t>MPAGI KIRUMIRA</t>
  </si>
  <si>
    <t>DIV10-OR</t>
  </si>
  <si>
    <t>paulke27@gmail.com</t>
  </si>
  <si>
    <t>SANVIN VOYAGE LLC</t>
  </si>
  <si>
    <t>EDIS OSMANOVIC</t>
  </si>
  <si>
    <t>edis79osmanovic@gmail.com</t>
  </si>
  <si>
    <t>Extra hours</t>
  </si>
  <si>
    <t>Dec</t>
  </si>
  <si>
    <t>2-Dec</t>
  </si>
  <si>
    <t>3-Dec</t>
  </si>
  <si>
    <t>4-Dec</t>
  </si>
  <si>
    <t>5-Dec</t>
  </si>
  <si>
    <t>6-Dec</t>
  </si>
  <si>
    <t>8-Dec</t>
  </si>
  <si>
    <t>9-Dec</t>
  </si>
  <si>
    <t>10-Dec</t>
  </si>
  <si>
    <t>11-Dec</t>
  </si>
  <si>
    <t>12-Dec</t>
  </si>
  <si>
    <t>13-Dec</t>
  </si>
  <si>
    <t>14-Dec</t>
  </si>
  <si>
    <t>15-Dec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</si>
</sst>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m/d/yyyy;@"/>
    <numFmt numFmtId="170" formatCode="_(* #,##0_);_(* \(#,##0\);_(* &quot;-&quot;??_);_(@_)"/>
  </numFmts>
  <fonts count="74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sz val="8"/>
      <name val="Calibri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FF0000"/>
      <name val="Calibri"/>
      <family val="2"/>
    </font>
    <font>
      <sz val="11"/>
      <color rgb="FF000000"/>
      <name val="Calibri"/>
      <family val="2"/>
      <scheme val="minor"/>
    </font>
    <font>
      <b/>
      <sz val="12"/>
      <name val="Calibri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 val="singleAccounting"/>
      <sz val="11"/>
      <name val="Calibri"/>
      <family val="2"/>
    </font>
    <font>
      <b/>
      <sz val="11"/>
      <color rgb="FFFF0000"/>
      <name val="Calibri"/>
      <family val="2"/>
    </font>
    <font>
      <sz val="10"/>
      <name val="Arial"/>
      <family val="2"/>
    </font>
    <font>
      <sz val="18"/>
      <color indexed="8"/>
      <name val="Calibri"/>
      <family val="2"/>
    </font>
    <font>
      <sz val="18"/>
      <color theme="1"/>
      <name val="Calibri"/>
      <family val="2"/>
    </font>
    <font>
      <sz val="24"/>
      <color indexed="8"/>
      <name val="Calibri"/>
      <family val="2"/>
    </font>
    <font>
      <b/>
      <sz val="13"/>
      <color rgb="FF000000"/>
      <name val="Calibri"/>
      <family val="2"/>
    </font>
    <font>
      <b/>
      <sz val="14"/>
      <color rgb="FF7030A0"/>
      <name val="Calibri"/>
      <family val="2"/>
    </font>
    <font>
      <b/>
      <sz val="16"/>
      <color indexed="8"/>
      <name val="Calibri"/>
      <family val="2"/>
    </font>
    <font>
      <b/>
      <sz val="17"/>
      <name val="Calibri"/>
      <family val="2"/>
    </font>
    <font>
      <b/>
      <sz val="10"/>
      <color rgb="FF000000"/>
      <name val="Segoe UI"/>
      <family val="2"/>
    </font>
    <font>
      <sz val="11"/>
      <color theme="1"/>
      <name val="Calibri"/>
      <family val="2"/>
    </font>
    <font>
      <b/>
      <sz val="12"/>
      <color rgb="FFFF0000"/>
      <name val="Calibri"/>
      <family val="2"/>
    </font>
    <font>
      <b/>
      <sz val="18"/>
      <color theme="0"/>
      <name val="Calibri"/>
      <family val="2"/>
    </font>
    <font>
      <b/>
      <sz val="11"/>
      <color indexed="8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FF0000"/>
      <name val="Calibri"/>
      <family val="2"/>
    </font>
    <font>
      <b/>
      <sz val="16"/>
      <color rgb="FFFF0000"/>
      <name val="Calibri"/>
      <family val="2"/>
    </font>
    <font>
      <sz val="12"/>
      <color indexed="8"/>
      <name val="Aptos"/>
      <family val="2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4.9989318521683403E-2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</borders>
  <cellStyleXfs count="92">
    <xf numFmtId="0" fontId="0" fillId="0" borderId="0"/>
    <xf numFmtId="166" fontId="37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1" applyNumberFormat="0" applyFill="0" applyAlignment="0" applyProtection="0"/>
    <xf numFmtId="0" fontId="23" fillId="0" borderId="2" applyNumberFormat="0" applyFill="0" applyAlignment="0" applyProtection="0"/>
    <xf numFmtId="0" fontId="24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5" fillId="2" borderId="0" applyNumberFormat="0" applyBorder="0" applyAlignment="0" applyProtection="0"/>
    <xf numFmtId="0" fontId="26" fillId="3" borderId="0" applyNumberFormat="0" applyBorder="0" applyAlignment="0" applyProtection="0"/>
    <xf numFmtId="0" fontId="27" fillId="4" borderId="0" applyNumberFormat="0" applyBorder="0" applyAlignment="0" applyProtection="0"/>
    <xf numFmtId="0" fontId="28" fillId="5" borderId="4" applyNumberFormat="0" applyAlignment="0" applyProtection="0"/>
    <xf numFmtId="0" fontId="29" fillId="6" borderId="5" applyNumberFormat="0" applyAlignment="0" applyProtection="0"/>
    <xf numFmtId="0" fontId="30" fillId="6" borderId="4" applyNumberFormat="0" applyAlignment="0" applyProtection="0"/>
    <xf numFmtId="0" fontId="31" fillId="0" borderId="6" applyNumberFormat="0" applyFill="0" applyAlignment="0" applyProtection="0"/>
    <xf numFmtId="0" fontId="32" fillId="7" borderId="7" applyNumberFormat="0" applyAlignment="0" applyProtection="0"/>
    <xf numFmtId="0" fontId="33" fillId="0" borderId="0" applyNumberFormat="0" applyFill="0" applyBorder="0" applyAlignment="0" applyProtection="0"/>
    <xf numFmtId="0" fontId="20" fillId="8" borderId="8" applyNumberFormat="0" applyFont="0" applyAlignment="0" applyProtection="0"/>
    <xf numFmtId="0" fontId="34" fillId="0" borderId="0" applyNumberFormat="0" applyFill="0" applyBorder="0" applyAlignment="0" applyProtection="0"/>
    <xf numFmtId="0" fontId="35" fillId="0" borderId="9" applyNumberFormat="0" applyFill="0" applyAlignment="0" applyProtection="0"/>
    <xf numFmtId="0" fontId="36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12" borderId="0" applyNumberFormat="0" applyBorder="0" applyAlignment="0" applyProtection="0"/>
    <xf numFmtId="0" fontId="36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6" borderId="0" applyNumberFormat="0" applyBorder="0" applyAlignment="0" applyProtection="0"/>
    <xf numFmtId="0" fontId="36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36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36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36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2" borderId="0" applyNumberFormat="0" applyBorder="0" applyAlignment="0" applyProtection="0"/>
    <xf numFmtId="166" fontId="37" fillId="0" borderId="0" applyFont="0" applyFill="0" applyBorder="0" applyAlignment="0" applyProtection="0"/>
    <xf numFmtId="0" fontId="37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45" fillId="0" borderId="0"/>
    <xf numFmtId="0" fontId="46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38" fillId="0" borderId="0"/>
    <xf numFmtId="0" fontId="47" fillId="0" borderId="0" applyNumberFormat="0" applyFill="0" applyBorder="0" applyAlignment="0" applyProtection="0"/>
    <xf numFmtId="0" fontId="7" fillId="0" borderId="0"/>
    <xf numFmtId="167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49" fillId="0" borderId="0"/>
    <xf numFmtId="167" fontId="49" fillId="0" borderId="0" applyFont="0" applyFill="0" applyBorder="0" applyAlignment="0" applyProtection="0"/>
    <xf numFmtId="166" fontId="49" fillId="0" borderId="0" applyFont="0" applyFill="0" applyBorder="0" applyAlignment="0" applyProtection="0"/>
    <xf numFmtId="0" fontId="40" fillId="0" borderId="0">
      <alignment vertical="top"/>
    </xf>
    <xf numFmtId="167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7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51" fillId="0" borderId="0">
      <alignment vertical="top"/>
    </xf>
    <xf numFmtId="0" fontId="52" fillId="0" borderId="0"/>
    <xf numFmtId="0" fontId="2" fillId="0" borderId="0"/>
    <xf numFmtId="167" fontId="38" fillId="0" borderId="0" applyFont="0" applyFill="0" applyBorder="0" applyAlignment="0" applyProtection="0"/>
    <xf numFmtId="0" fontId="2" fillId="0" borderId="0"/>
    <xf numFmtId="0" fontId="38" fillId="0" borderId="0"/>
    <xf numFmtId="166" fontId="38" fillId="0" borderId="0" applyFont="0" applyFill="0" applyBorder="0" applyAlignment="0" applyProtection="0"/>
    <xf numFmtId="0" fontId="38" fillId="0" borderId="0"/>
    <xf numFmtId="166" fontId="38" fillId="0" borderId="0" applyFont="0" applyFill="0" applyBorder="0" applyAlignment="0" applyProtection="0"/>
    <xf numFmtId="0" fontId="57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37" fillId="0" borderId="0" applyFont="0" applyFill="0" applyBorder="0" applyAlignment="0" applyProtection="0"/>
    <xf numFmtId="9" fontId="37" fillId="0" borderId="0" applyFont="0" applyFill="0" applyBorder="0" applyAlignment="0" applyProtection="0"/>
  </cellStyleXfs>
  <cellXfs count="222">
    <xf numFmtId="0" fontId="0" fillId="0" borderId="0" xfId="0"/>
    <xf numFmtId="0" fontId="37" fillId="0" borderId="0" xfId="44"/>
    <xf numFmtId="0" fontId="38" fillId="0" borderId="0" xfId="0" applyFont="1"/>
    <xf numFmtId="0" fontId="41" fillId="0" borderId="0" xfId="0" applyFont="1"/>
    <xf numFmtId="2" fontId="0" fillId="0" borderId="0" xfId="0" applyNumberFormat="1"/>
    <xf numFmtId="166" fontId="41" fillId="0" borderId="0" xfId="1" applyFont="1"/>
    <xf numFmtId="2" fontId="39" fillId="0" borderId="0" xfId="0" applyNumberFormat="1" applyFont="1"/>
    <xf numFmtId="0" fontId="39" fillId="0" borderId="0" xfId="0" applyFont="1"/>
    <xf numFmtId="166" fontId="37" fillId="0" borderId="0" xfId="1" applyFont="1" applyAlignment="1">
      <alignment horizontal="center"/>
    </xf>
    <xf numFmtId="0" fontId="38" fillId="0" borderId="0" xfId="59" applyAlignment="1">
      <alignment horizontal="center"/>
    </xf>
    <xf numFmtId="0" fontId="47" fillId="0" borderId="0" xfId="60" applyNumberFormat="1" applyAlignment="1" applyProtection="1">
      <alignment horizontal="center"/>
    </xf>
    <xf numFmtId="0" fontId="37" fillId="0" borderId="0" xfId="44" applyAlignment="1">
      <alignment horizontal="right"/>
    </xf>
    <xf numFmtId="0" fontId="38" fillId="0" borderId="0" xfId="59" applyAlignment="1">
      <alignment horizontal="right"/>
    </xf>
    <xf numFmtId="166" fontId="38" fillId="0" borderId="0" xfId="1" applyFont="1"/>
    <xf numFmtId="2" fontId="37" fillId="0" borderId="0" xfId="44" applyNumberFormat="1"/>
    <xf numFmtId="166" fontId="50" fillId="0" borderId="0" xfId="0" applyNumberFormat="1" applyFont="1"/>
    <xf numFmtId="0" fontId="42" fillId="0" borderId="0" xfId="44" applyFont="1"/>
    <xf numFmtId="0" fontId="43" fillId="33" borderId="0" xfId="44" applyFont="1" applyFill="1"/>
    <xf numFmtId="0" fontId="43" fillId="34" borderId="0" xfId="44" applyFont="1" applyFill="1"/>
    <xf numFmtId="0" fontId="37" fillId="34" borderId="0" xfId="44" applyFill="1"/>
    <xf numFmtId="0" fontId="39" fillId="0" borderId="0" xfId="44" applyFont="1" applyAlignment="1">
      <alignment horizontal="center"/>
    </xf>
    <xf numFmtId="0" fontId="39" fillId="0" borderId="0" xfId="44" applyFont="1"/>
    <xf numFmtId="0" fontId="39" fillId="0" borderId="10" xfId="44" applyFont="1" applyBorder="1" applyAlignment="1">
      <alignment horizontal="center"/>
    </xf>
    <xf numFmtId="0" fontId="37" fillId="0" borderId="0" xfId="44" applyAlignment="1">
      <alignment horizontal="center"/>
    </xf>
    <xf numFmtId="39" fontId="37" fillId="0" borderId="0" xfId="43" applyNumberFormat="1" applyFont="1" applyAlignment="1" applyProtection="1">
      <alignment horizontal="center"/>
    </xf>
    <xf numFmtId="16" fontId="39" fillId="35" borderId="0" xfId="44" applyNumberFormat="1" applyFont="1" applyFill="1"/>
    <xf numFmtId="2" fontId="39" fillId="35" borderId="0" xfId="44" applyNumberFormat="1" applyFont="1" applyFill="1" applyAlignment="1" applyProtection="1">
      <alignment horizontal="right"/>
      <protection locked="0"/>
    </xf>
    <xf numFmtId="39" fontId="39" fillId="0" borderId="0" xfId="44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7" fillId="0" borderId="0" xfId="60" applyAlignment="1" applyProtection="1">
      <alignment horizontal="center"/>
      <protection locked="0"/>
    </xf>
    <xf numFmtId="0" fontId="41" fillId="35" borderId="11" xfId="78" applyFont="1" applyFill="1" applyBorder="1"/>
    <xf numFmtId="0" fontId="41" fillId="35" borderId="13" xfId="78" applyFont="1" applyFill="1" applyBorder="1"/>
    <xf numFmtId="0" fontId="2" fillId="0" borderId="0" xfId="78"/>
    <xf numFmtId="14" fontId="2" fillId="0" borderId="0" xfId="78" applyNumberFormat="1"/>
    <xf numFmtId="0" fontId="41" fillId="0" borderId="0" xfId="81" applyFont="1"/>
    <xf numFmtId="167" fontId="41" fillId="0" borderId="0" xfId="79" applyFont="1" applyFill="1" applyBorder="1" applyAlignment="1">
      <alignment horizontal="center" vertical="center"/>
    </xf>
    <xf numFmtId="0" fontId="38" fillId="0" borderId="0" xfId="81" applyAlignment="1">
      <alignment horizontal="center" vertical="center"/>
    </xf>
    <xf numFmtId="14" fontId="38" fillId="36" borderId="0" xfId="81" applyNumberFormat="1" applyFill="1"/>
    <xf numFmtId="0" fontId="38" fillId="36" borderId="0" xfId="81" applyFill="1"/>
    <xf numFmtId="166" fontId="0" fillId="36" borderId="11" xfId="82" applyFont="1" applyFill="1" applyBorder="1"/>
    <xf numFmtId="0" fontId="38" fillId="0" borderId="0" xfId="83"/>
    <xf numFmtId="0" fontId="38" fillId="0" borderId="0" xfId="81"/>
    <xf numFmtId="0" fontId="38" fillId="35" borderId="11" xfId="81" applyFill="1" applyBorder="1"/>
    <xf numFmtId="166" fontId="41" fillId="0" borderId="0" xfId="81" applyNumberFormat="1" applyFont="1"/>
    <xf numFmtId="0" fontId="53" fillId="0" borderId="0" xfId="78" applyFont="1" applyProtection="1">
      <protection locked="0"/>
    </xf>
    <xf numFmtId="0" fontId="54" fillId="0" borderId="0" xfId="81" applyFont="1"/>
    <xf numFmtId="166" fontId="0" fillId="0" borderId="11" xfId="82" applyFont="1" applyFill="1" applyBorder="1"/>
    <xf numFmtId="14" fontId="54" fillId="0" borderId="0" xfId="81" applyNumberFormat="1" applyFont="1"/>
    <xf numFmtId="1" fontId="38" fillId="0" borderId="0" xfId="81" applyNumberFormat="1"/>
    <xf numFmtId="2" fontId="38" fillId="0" borderId="0" xfId="81" applyNumberFormat="1"/>
    <xf numFmtId="166" fontId="41" fillId="0" borderId="0" xfId="82" applyFont="1"/>
    <xf numFmtId="166" fontId="55" fillId="0" borderId="0" xfId="82" applyFont="1" applyFill="1" applyBorder="1"/>
    <xf numFmtId="167" fontId="41" fillId="0" borderId="0" xfId="79" applyFont="1" applyFill="1" applyBorder="1"/>
    <xf numFmtId="0" fontId="53" fillId="36" borderId="0" xfId="78" applyFont="1" applyFill="1" applyProtection="1">
      <protection locked="0"/>
    </xf>
    <xf numFmtId="0" fontId="54" fillId="36" borderId="0" xfId="81" applyFont="1" applyFill="1"/>
    <xf numFmtId="166" fontId="0" fillId="36" borderId="0" xfId="82" applyFont="1" applyFill="1" applyBorder="1"/>
    <xf numFmtId="167" fontId="41" fillId="35" borderId="0" xfId="79" applyFont="1" applyFill="1" applyBorder="1" applyAlignment="1">
      <alignment horizontal="center" vertical="center"/>
    </xf>
    <xf numFmtId="0" fontId="41" fillId="36" borderId="0" xfId="78" applyFont="1" applyFill="1"/>
    <xf numFmtId="0" fontId="53" fillId="0" borderId="0" xfId="78" applyFont="1"/>
    <xf numFmtId="0" fontId="2" fillId="36" borderId="0" xfId="78" applyFill="1"/>
    <xf numFmtId="0" fontId="56" fillId="0" borderId="0" xfId="81" applyFont="1"/>
    <xf numFmtId="0" fontId="0" fillId="0" borderId="0" xfId="0" applyAlignment="1">
      <alignment horizontal="center"/>
    </xf>
    <xf numFmtId="2" fontId="39" fillId="0" borderId="0" xfId="44" applyNumberFormat="1" applyFont="1" applyAlignment="1">
      <alignment horizontal="right"/>
    </xf>
    <xf numFmtId="0" fontId="35" fillId="0" borderId="0" xfId="0" applyFont="1"/>
    <xf numFmtId="14" fontId="0" fillId="0" borderId="0" xfId="0" applyNumberFormat="1"/>
    <xf numFmtId="0" fontId="58" fillId="0" borderId="0" xfId="0" applyFont="1"/>
    <xf numFmtId="0" fontId="60" fillId="0" borderId="0" xfId="0" applyFont="1"/>
    <xf numFmtId="0" fontId="42" fillId="0" borderId="0" xfId="44" applyFont="1" applyAlignment="1">
      <alignment horizontal="left"/>
    </xf>
    <xf numFmtId="0" fontId="39" fillId="0" borderId="10" xfId="44" applyFont="1" applyBorder="1" applyAlignment="1">
      <alignment horizontal="left"/>
    </xf>
    <xf numFmtId="0" fontId="39" fillId="0" borderId="0" xfId="44" applyFont="1" applyAlignment="1">
      <alignment horizontal="left"/>
    </xf>
    <xf numFmtId="0" fontId="37" fillId="0" borderId="0" xfId="44" applyAlignment="1">
      <alignment horizontal="left"/>
    </xf>
    <xf numFmtId="0" fontId="37" fillId="0" borderId="0" xfId="44" applyAlignment="1" applyProtection="1">
      <alignment horizontal="left"/>
      <protection locked="0"/>
    </xf>
    <xf numFmtId="14" fontId="61" fillId="0" borderId="0" xfId="0" applyNumberFormat="1" applyFont="1"/>
    <xf numFmtId="20" fontId="37" fillId="0" borderId="0" xfId="0" applyNumberFormat="1" applyFont="1"/>
    <xf numFmtId="168" fontId="0" fillId="0" borderId="0" xfId="0" applyNumberFormat="1"/>
    <xf numFmtId="20" fontId="0" fillId="0" borderId="0" xfId="0" applyNumberFormat="1"/>
    <xf numFmtId="14" fontId="63" fillId="0" borderId="0" xfId="0" applyNumberFormat="1" applyFont="1" applyAlignment="1">
      <alignment horizontal="right" vertical="center"/>
    </xf>
    <xf numFmtId="168" fontId="63" fillId="0" borderId="0" xfId="0" applyNumberFormat="1" applyFont="1" applyAlignment="1">
      <alignment horizontal="left" indent="1"/>
    </xf>
    <xf numFmtId="0" fontId="63" fillId="0" borderId="0" xfId="0" applyFont="1" applyAlignment="1">
      <alignment horizontal="left" indent="1"/>
    </xf>
    <xf numFmtId="2" fontId="39" fillId="0" borderId="0" xfId="0" applyNumberFormat="1" applyFont="1" applyAlignment="1">
      <alignment horizontal="center"/>
    </xf>
    <xf numFmtId="168" fontId="39" fillId="0" borderId="0" xfId="0" applyNumberFormat="1" applyFont="1" applyAlignment="1">
      <alignment horizontal="left"/>
    </xf>
    <xf numFmtId="168" fontId="35" fillId="0" borderId="0" xfId="0" applyNumberFormat="1" applyFont="1"/>
    <xf numFmtId="14" fontId="65" fillId="0" borderId="18" xfId="0" applyNumberFormat="1" applyFont="1" applyBorder="1" applyAlignment="1">
      <alignment horizontal="center" vertical="top" wrapText="1" readingOrder="1"/>
    </xf>
    <xf numFmtId="14" fontId="65" fillId="0" borderId="19" xfId="0" applyNumberFormat="1" applyFont="1" applyBorder="1" applyAlignment="1">
      <alignment horizontal="center" vertical="top" wrapText="1" readingOrder="1"/>
    </xf>
    <xf numFmtId="14" fontId="65" fillId="0" borderId="20" xfId="0" applyNumberFormat="1" applyFont="1" applyBorder="1" applyAlignment="1">
      <alignment horizontal="center" vertical="top" wrapText="1" readingOrder="1"/>
    </xf>
    <xf numFmtId="14" fontId="65" fillId="41" borderId="0" xfId="0" applyNumberFormat="1" applyFont="1" applyFill="1" applyAlignment="1">
      <alignment horizontal="center" vertical="top" wrapText="1" readingOrder="1"/>
    </xf>
    <xf numFmtId="2" fontId="0" fillId="0" borderId="0" xfId="0" applyNumberFormat="1" applyAlignment="1">
      <alignment horizontal="center"/>
    </xf>
    <xf numFmtId="169" fontId="59" fillId="0" borderId="14" xfId="0" applyNumberFormat="1" applyFont="1" applyBorder="1"/>
    <xf numFmtId="39" fontId="37" fillId="0" borderId="0" xfId="44" applyNumberFormat="1"/>
    <xf numFmtId="1" fontId="0" fillId="0" borderId="0" xfId="0" applyNumberFormat="1" applyAlignment="1">
      <alignment horizontal="center"/>
    </xf>
    <xf numFmtId="0" fontId="0" fillId="0" borderId="0" xfId="0" pivotButton="1"/>
    <xf numFmtId="0" fontId="56" fillId="0" borderId="0" xfId="0" applyFont="1"/>
    <xf numFmtId="0" fontId="0" fillId="0" borderId="0" xfId="0" pivotButton="1" applyAlignment="1">
      <alignment horizontal="center"/>
    </xf>
    <xf numFmtId="0" fontId="47" fillId="0" borderId="0" xfId="60"/>
    <xf numFmtId="168" fontId="39" fillId="0" borderId="0" xfId="0" applyNumberFormat="1" applyFont="1" applyAlignment="1">
      <alignment horizontal="center"/>
    </xf>
    <xf numFmtId="168" fontId="66" fillId="0" borderId="0" xfId="0" applyNumberFormat="1" applyFont="1"/>
    <xf numFmtId="2" fontId="39" fillId="0" borderId="16" xfId="0" applyNumberFormat="1" applyFont="1" applyBorder="1"/>
    <xf numFmtId="168" fontId="66" fillId="0" borderId="0" xfId="0" applyNumberFormat="1" applyFont="1" applyAlignment="1">
      <alignment horizontal="center"/>
    </xf>
    <xf numFmtId="165" fontId="0" fillId="0" borderId="16" xfId="0" applyNumberFormat="1" applyBorder="1" applyAlignment="1">
      <alignment horizontal="center"/>
    </xf>
    <xf numFmtId="0" fontId="0" fillId="0" borderId="16" xfId="0" applyBorder="1" applyAlignment="1">
      <alignment horizontal="left"/>
    </xf>
    <xf numFmtId="168" fontId="35" fillId="0" borderId="0" xfId="0" applyNumberFormat="1" applyFont="1" applyAlignment="1">
      <alignment horizontal="center"/>
    </xf>
    <xf numFmtId="14" fontId="63" fillId="42" borderId="0" xfId="0" applyNumberFormat="1" applyFont="1" applyFill="1" applyAlignment="1">
      <alignment horizontal="right" vertical="center"/>
    </xf>
    <xf numFmtId="40" fontId="37" fillId="0" borderId="0" xfId="44" applyNumberFormat="1"/>
    <xf numFmtId="40" fontId="39" fillId="0" borderId="0" xfId="44" applyNumberFormat="1" applyFont="1" applyAlignment="1">
      <alignment horizontal="center"/>
    </xf>
    <xf numFmtId="40" fontId="39" fillId="0" borderId="10" xfId="44" applyNumberFormat="1" applyFont="1" applyBorder="1" applyAlignment="1">
      <alignment horizontal="center"/>
    </xf>
    <xf numFmtId="165" fontId="48" fillId="0" borderId="0" xfId="0" applyNumberFormat="1" applyFont="1"/>
    <xf numFmtId="165" fontId="48" fillId="0" borderId="16" xfId="0" applyNumberFormat="1" applyFont="1" applyBorder="1"/>
    <xf numFmtId="168" fontId="39" fillId="0" borderId="0" xfId="0" applyNumberFormat="1" applyFont="1"/>
    <xf numFmtId="168" fontId="37" fillId="0" borderId="0" xfId="0" applyNumberFormat="1" applyFont="1" applyAlignment="1">
      <alignment horizontal="center"/>
    </xf>
    <xf numFmtId="0" fontId="0" fillId="43" borderId="0" xfId="0" applyFill="1"/>
    <xf numFmtId="0" fontId="39" fillId="44" borderId="24" xfId="0" applyFont="1" applyFill="1" applyBorder="1" applyAlignment="1">
      <alignment horizontal="center"/>
    </xf>
    <xf numFmtId="0" fontId="39" fillId="44" borderId="25" xfId="0" applyFont="1" applyFill="1" applyBorder="1" applyAlignment="1">
      <alignment horizontal="center"/>
    </xf>
    <xf numFmtId="0" fontId="39" fillId="0" borderId="24" xfId="44" applyFont="1" applyBorder="1" applyAlignment="1">
      <alignment horizontal="left"/>
    </xf>
    <xf numFmtId="166" fontId="37" fillId="0" borderId="24" xfId="1" applyFont="1" applyBorder="1" applyAlignment="1">
      <alignment horizontal="left"/>
    </xf>
    <xf numFmtId="37" fontId="0" fillId="0" borderId="24" xfId="0" applyNumberFormat="1" applyBorder="1" applyAlignment="1" applyProtection="1">
      <alignment horizontal="center"/>
      <protection locked="0"/>
    </xf>
    <xf numFmtId="166" fontId="0" fillId="0" borderId="24" xfId="1" applyFont="1" applyBorder="1"/>
    <xf numFmtId="0" fontId="39" fillId="0" borderId="26" xfId="44" applyFont="1" applyBorder="1" applyAlignment="1">
      <alignment horizontal="left"/>
    </xf>
    <xf numFmtId="166" fontId="37" fillId="0" borderId="26" xfId="1" applyFont="1" applyBorder="1" applyAlignment="1">
      <alignment horizontal="left"/>
    </xf>
    <xf numFmtId="37" fontId="0" fillId="0" borderId="26" xfId="0" applyNumberFormat="1" applyBorder="1" applyAlignment="1" applyProtection="1">
      <alignment horizontal="center"/>
      <protection locked="0"/>
    </xf>
    <xf numFmtId="166" fontId="0" fillId="0" borderId="26" xfId="1" applyFont="1" applyBorder="1"/>
    <xf numFmtId="0" fontId="39" fillId="0" borderId="25" xfId="44" applyFont="1" applyBorder="1" applyAlignment="1">
      <alignment horizontal="left"/>
    </xf>
    <xf numFmtId="0" fontId="0" fillId="0" borderId="25" xfId="0" applyBorder="1"/>
    <xf numFmtId="0" fontId="39" fillId="44" borderId="11" xfId="44" applyFont="1" applyFill="1" applyBorder="1" applyAlignment="1">
      <alignment horizontal="center"/>
    </xf>
    <xf numFmtId="166" fontId="39" fillId="0" borderId="11" xfId="0" applyNumberFormat="1" applyFont="1" applyBorder="1"/>
    <xf numFmtId="166" fontId="39" fillId="0" borderId="11" xfId="1" applyFont="1" applyBorder="1"/>
    <xf numFmtId="170" fontId="39" fillId="0" borderId="11" xfId="90" applyNumberFormat="1" applyFont="1" applyBorder="1"/>
    <xf numFmtId="166" fontId="0" fillId="0" borderId="0" xfId="0" applyNumberFormat="1"/>
    <xf numFmtId="0" fontId="68" fillId="45" borderId="27" xfId="0" applyFont="1" applyFill="1" applyBorder="1"/>
    <xf numFmtId="169" fontId="59" fillId="0" borderId="27" xfId="0" applyNumberFormat="1" applyFont="1" applyBorder="1"/>
    <xf numFmtId="169" fontId="59" fillId="0" borderId="28" xfId="0" applyNumberFormat="1" applyFont="1" applyBorder="1"/>
    <xf numFmtId="0" fontId="59" fillId="0" borderId="27" xfId="0" applyFont="1" applyBorder="1"/>
    <xf numFmtId="0" fontId="59" fillId="0" borderId="28" xfId="0" applyFont="1" applyBorder="1"/>
    <xf numFmtId="0" fontId="43" fillId="0" borderId="0" xfId="0" applyFont="1"/>
    <xf numFmtId="10" fontId="68" fillId="45" borderId="0" xfId="91" applyNumberFormat="1" applyFont="1" applyFill="1" applyBorder="1"/>
    <xf numFmtId="10" fontId="0" fillId="0" borderId="0" xfId="91" applyNumberFormat="1" applyFont="1"/>
    <xf numFmtId="10" fontId="58" fillId="0" borderId="0" xfId="91" applyNumberFormat="1" applyFont="1"/>
    <xf numFmtId="14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10" fontId="0" fillId="0" borderId="0" xfId="91" applyNumberFormat="1" applyFon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4" fontId="69" fillId="46" borderId="30" xfId="0" applyNumberFormat="1" applyFont="1" applyFill="1" applyBorder="1" applyAlignment="1">
      <alignment horizontal="left" vertical="center" wrapText="1" readingOrder="1"/>
    </xf>
    <xf numFmtId="14" fontId="69" fillId="46" borderId="30" xfId="0" applyNumberFormat="1" applyFont="1" applyFill="1" applyBorder="1" applyAlignment="1">
      <alignment horizontal="center" vertical="center" wrapText="1" readingOrder="1"/>
    </xf>
    <xf numFmtId="2" fontId="69" fillId="46" borderId="30" xfId="0" applyNumberFormat="1" applyFont="1" applyFill="1" applyBorder="1" applyAlignment="1">
      <alignment horizontal="center" vertical="center" wrapText="1" readingOrder="1"/>
    </xf>
    <xf numFmtId="2" fontId="69" fillId="46" borderId="30" xfId="91" applyNumberFormat="1" applyFont="1" applyFill="1" applyBorder="1" applyAlignment="1">
      <alignment horizontal="center" vertical="center" wrapText="1" readingOrder="1"/>
    </xf>
    <xf numFmtId="168" fontId="69" fillId="46" borderId="30" xfId="0" applyNumberFormat="1" applyFont="1" applyFill="1" applyBorder="1" applyAlignment="1">
      <alignment horizontal="center" vertical="center" wrapText="1" readingOrder="1"/>
    </xf>
    <xf numFmtId="2" fontId="0" fillId="0" borderId="0" xfId="9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0" fillId="0" borderId="0" xfId="91" applyNumberFormat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4" fontId="35" fillId="39" borderId="31" xfId="0" applyNumberFormat="1" applyFont="1" applyFill="1" applyBorder="1" applyAlignment="1">
      <alignment horizontal="left" vertical="center"/>
    </xf>
    <xf numFmtId="2" fontId="35" fillId="39" borderId="31" xfId="91" applyNumberFormat="1" applyFont="1" applyFill="1" applyBorder="1" applyAlignment="1">
      <alignment horizontal="center" vertical="center"/>
    </xf>
    <xf numFmtId="2" fontId="35" fillId="39" borderId="31" xfId="0" applyNumberFormat="1" applyFont="1" applyFill="1" applyBorder="1" applyAlignment="1">
      <alignment horizontal="center" vertical="center"/>
    </xf>
    <xf numFmtId="168" fontId="35" fillId="39" borderId="31" xfId="91" applyNumberFormat="1" applyFont="1" applyFill="1" applyBorder="1" applyAlignment="1">
      <alignment horizontal="center" vertical="center"/>
    </xf>
    <xf numFmtId="168" fontId="35" fillId="39" borderId="31" xfId="0" applyNumberFormat="1" applyFont="1" applyFill="1" applyBorder="1" applyAlignment="1">
      <alignment horizontal="center" vertical="center"/>
    </xf>
    <xf numFmtId="10" fontId="35" fillId="39" borderId="31" xfId="0" applyNumberFormat="1" applyFont="1" applyFill="1" applyBorder="1" applyAlignment="1">
      <alignment horizontal="center" vertical="center"/>
    </xf>
    <xf numFmtId="14" fontId="69" fillId="46" borderId="32" xfId="0" applyNumberFormat="1" applyFont="1" applyFill="1" applyBorder="1" applyAlignment="1">
      <alignment horizontal="left" vertical="center" wrapText="1" readingOrder="1"/>
    </xf>
    <xf numFmtId="14" fontId="69" fillId="46" borderId="33" xfId="0" applyNumberFormat="1" applyFont="1" applyFill="1" applyBorder="1" applyAlignment="1">
      <alignment horizontal="center" vertical="center" wrapText="1" readingOrder="1"/>
    </xf>
    <xf numFmtId="0" fontId="69" fillId="46" borderId="33" xfId="0" applyFont="1" applyFill="1" applyBorder="1" applyAlignment="1">
      <alignment horizontal="center" vertical="center" wrapText="1" readingOrder="1"/>
    </xf>
    <xf numFmtId="10" fontId="69" fillId="46" borderId="33" xfId="91" applyNumberFormat="1" applyFont="1" applyFill="1" applyBorder="1" applyAlignment="1">
      <alignment horizontal="center" vertical="center" wrapText="1" readingOrder="1"/>
    </xf>
    <xf numFmtId="1" fontId="69" fillId="46" borderId="33" xfId="0" applyNumberFormat="1" applyFont="1" applyFill="1" applyBorder="1" applyAlignment="1">
      <alignment horizontal="center" vertical="center" wrapText="1" readingOrder="1"/>
    </xf>
    <xf numFmtId="2" fontId="69" fillId="46" borderId="33" xfId="0" applyNumberFormat="1" applyFont="1" applyFill="1" applyBorder="1" applyAlignment="1">
      <alignment horizontal="center" vertical="center" wrapText="1" readingOrder="1"/>
    </xf>
    <xf numFmtId="2" fontId="69" fillId="46" borderId="34" xfId="0" applyNumberFormat="1" applyFont="1" applyFill="1" applyBorder="1" applyAlignment="1">
      <alignment horizontal="center" vertical="center" wrapText="1" readingOrder="1"/>
    </xf>
    <xf numFmtId="1" fontId="0" fillId="0" borderId="0" xfId="0" applyNumberFormat="1"/>
    <xf numFmtId="168" fontId="0" fillId="0" borderId="0" xfId="1" applyNumberFormat="1" applyFont="1"/>
    <xf numFmtId="0" fontId="68" fillId="37" borderId="12" xfId="44" applyFont="1" applyFill="1" applyBorder="1"/>
    <xf numFmtId="168" fontId="37" fillId="0" borderId="0" xfId="44" applyNumberFormat="1"/>
    <xf numFmtId="168" fontId="37" fillId="0" borderId="0" xfId="44" applyNumberFormat="1" applyAlignment="1">
      <alignment horizontal="center"/>
    </xf>
    <xf numFmtId="168" fontId="37" fillId="0" borderId="0" xfId="44" quotePrefix="1" applyNumberFormat="1" applyAlignment="1">
      <alignment horizontal="center"/>
    </xf>
    <xf numFmtId="168" fontId="37" fillId="0" borderId="0" xfId="1" applyNumberFormat="1" applyFont="1" applyAlignment="1" applyProtection="1">
      <alignment horizontal="center"/>
    </xf>
    <xf numFmtId="168" fontId="37" fillId="0" borderId="0" xfId="43" applyNumberFormat="1" applyFont="1" applyAlignment="1" applyProtection="1">
      <alignment horizontal="center"/>
    </xf>
    <xf numFmtId="168" fontId="39" fillId="35" borderId="0" xfId="44" applyNumberFormat="1" applyFont="1" applyFill="1" applyAlignment="1">
      <alignment horizontal="center"/>
    </xf>
    <xf numFmtId="168" fontId="39" fillId="35" borderId="0" xfId="44" applyNumberFormat="1" applyFont="1" applyFill="1" applyAlignment="1">
      <alignment horizontal="center" vertical="center"/>
    </xf>
    <xf numFmtId="168" fontId="42" fillId="38" borderId="0" xfId="44" applyNumberFormat="1" applyFont="1" applyFill="1" applyAlignment="1">
      <alignment horizontal="center" vertical="center"/>
    </xf>
    <xf numFmtId="168" fontId="37" fillId="0" borderId="0" xfId="44" applyNumberFormat="1" applyAlignment="1">
      <alignment horizontal="center" vertical="center"/>
    </xf>
    <xf numFmtId="0" fontId="0" fillId="0" borderId="0" xfId="0" applyAlignment="1">
      <alignment horizontal="left"/>
    </xf>
    <xf numFmtId="0" fontId="0" fillId="0" borderId="31" xfId="0" applyBorder="1" applyAlignment="1">
      <alignment horizontal="center"/>
    </xf>
    <xf numFmtId="0" fontId="39" fillId="0" borderId="31" xfId="0" applyFon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39" fillId="0" borderId="31" xfId="0" applyNumberFormat="1" applyFont="1" applyBorder="1" applyAlignment="1">
      <alignment horizontal="center"/>
    </xf>
    <xf numFmtId="0" fontId="43" fillId="35" borderId="0" xfId="0" applyFont="1" applyFill="1"/>
    <xf numFmtId="14" fontId="65" fillId="41" borderId="0" xfId="0" applyNumberFormat="1" applyFont="1" applyFill="1" applyAlignment="1">
      <alignment horizontal="center" vertical="center" wrapText="1" readingOrder="1"/>
    </xf>
    <xf numFmtId="14" fontId="69" fillId="46" borderId="32" xfId="0" applyNumberFormat="1" applyFont="1" applyFill="1" applyBorder="1" applyAlignment="1">
      <alignment horizontal="center" vertical="center" wrapText="1" readingOrder="1"/>
    </xf>
    <xf numFmtId="1" fontId="0" fillId="0" borderId="0" xfId="0" applyNumberFormat="1" applyAlignment="1">
      <alignment horizontal="center" vertical="center"/>
    </xf>
    <xf numFmtId="168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/>
    <xf numFmtId="0" fontId="73" fillId="0" borderId="0" xfId="0" applyFont="1"/>
    <xf numFmtId="166" fontId="37" fillId="35" borderId="26" xfId="1" applyFont="1" applyFill="1" applyBorder="1" applyAlignment="1">
      <alignment horizontal="left"/>
    </xf>
    <xf numFmtId="37" fontId="0" fillId="35" borderId="26" xfId="0" applyNumberFormat="1" applyFill="1" applyBorder="1" applyAlignment="1" applyProtection="1">
      <alignment horizontal="center"/>
      <protection locked="0"/>
    </xf>
    <xf numFmtId="166" fontId="0" fillId="35" borderId="26" xfId="1" applyFont="1" applyFill="1" applyBorder="1"/>
    <xf numFmtId="14" fontId="0" fillId="0" borderId="0" xfId="0" applyNumberFormat="1" applyAlignment="1">
      <alignment horizontal="left"/>
    </xf>
    <xf numFmtId="1" fontId="0" fillId="43" borderId="0" xfId="0" applyNumberFormat="1" applyFill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 indent="2"/>
    </xf>
    <xf numFmtId="0" fontId="68" fillId="37" borderId="12" xfId="44" applyFont="1" applyFill="1" applyBorder="1" applyAlignment="1">
      <alignment horizontal="center"/>
    </xf>
    <xf numFmtId="0" fontId="35" fillId="46" borderId="13" xfId="0" applyFont="1" applyFill="1" applyBorder="1" applyAlignment="1">
      <alignment horizontal="center" vertical="center"/>
    </xf>
    <xf numFmtId="0" fontId="35" fillId="46" borderId="15" xfId="0" applyFont="1" applyFill="1" applyBorder="1" applyAlignment="1">
      <alignment horizontal="center" vertical="center"/>
    </xf>
    <xf numFmtId="0" fontId="35" fillId="46" borderId="29" xfId="0" applyFont="1" applyFill="1" applyBorder="1" applyAlignment="1">
      <alignment horizontal="center" vertical="center"/>
    </xf>
    <xf numFmtId="2" fontId="35" fillId="46" borderId="13" xfId="0" applyNumberFormat="1" applyFont="1" applyFill="1" applyBorder="1" applyAlignment="1">
      <alignment horizontal="center" vertical="center"/>
    </xf>
    <xf numFmtId="2" fontId="35" fillId="46" borderId="15" xfId="0" applyNumberFormat="1" applyFont="1" applyFill="1" applyBorder="1" applyAlignment="1">
      <alignment horizontal="center" vertical="center"/>
    </xf>
    <xf numFmtId="2" fontId="35" fillId="46" borderId="29" xfId="0" applyNumberFormat="1" applyFont="1" applyFill="1" applyBorder="1" applyAlignment="1">
      <alignment horizontal="center" vertical="center"/>
    </xf>
    <xf numFmtId="168" fontId="35" fillId="0" borderId="16" xfId="0" applyNumberFormat="1" applyFont="1" applyBorder="1" applyAlignment="1">
      <alignment horizontal="center"/>
    </xf>
    <xf numFmtId="14" fontId="64" fillId="40" borderId="21" xfId="0" applyNumberFormat="1" applyFont="1" applyFill="1" applyBorder="1" applyAlignment="1">
      <alignment horizontal="center"/>
    </xf>
    <xf numFmtId="14" fontId="64" fillId="40" borderId="22" xfId="0" applyNumberFormat="1" applyFont="1" applyFill="1" applyBorder="1" applyAlignment="1">
      <alignment horizontal="center"/>
    </xf>
    <xf numFmtId="14" fontId="64" fillId="40" borderId="23" xfId="0" applyNumberFormat="1" applyFont="1" applyFill="1" applyBorder="1" applyAlignment="1">
      <alignment horizontal="center"/>
    </xf>
    <xf numFmtId="20" fontId="39" fillId="0" borderId="15" xfId="0" applyNumberFormat="1" applyFont="1" applyBorder="1" applyAlignment="1">
      <alignment horizontal="center"/>
    </xf>
    <xf numFmtId="2" fontId="39" fillId="0" borderId="16" xfId="0" applyNumberFormat="1" applyFont="1" applyBorder="1" applyAlignment="1">
      <alignment horizontal="center" wrapText="1"/>
    </xf>
    <xf numFmtId="0" fontId="62" fillId="39" borderId="17" xfId="0" applyFont="1" applyFill="1" applyBorder="1" applyAlignment="1">
      <alignment horizontal="left"/>
    </xf>
    <xf numFmtId="0" fontId="62" fillId="39" borderId="0" xfId="0" applyFont="1" applyFill="1" applyAlignment="1">
      <alignment horizontal="left"/>
    </xf>
    <xf numFmtId="168" fontId="63" fillId="42" borderId="0" xfId="0" applyNumberFormat="1" applyFont="1" applyFill="1" applyAlignment="1">
      <alignment horizontal="left" indent="1"/>
    </xf>
    <xf numFmtId="0" fontId="63" fillId="42" borderId="0" xfId="0" applyFont="1" applyFill="1" applyAlignment="1">
      <alignment horizontal="left" indent="1"/>
    </xf>
    <xf numFmtId="168" fontId="39" fillId="0" borderId="35" xfId="0" applyNumberFormat="1" applyFont="1" applyBorder="1" applyAlignment="1">
      <alignment horizontal="center"/>
    </xf>
    <xf numFmtId="0" fontId="70" fillId="40" borderId="21" xfId="0" applyFont="1" applyFill="1" applyBorder="1" applyAlignment="1">
      <alignment horizontal="center" vertical="center"/>
    </xf>
    <xf numFmtId="0" fontId="70" fillId="40" borderId="22" xfId="0" applyFont="1" applyFill="1" applyBorder="1" applyAlignment="1">
      <alignment horizontal="center" vertical="center"/>
    </xf>
    <xf numFmtId="0" fontId="70" fillId="40" borderId="23" xfId="0" applyFont="1" applyFill="1" applyBorder="1" applyAlignment="1">
      <alignment horizontal="center" vertical="center"/>
    </xf>
    <xf numFmtId="0" fontId="5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0" fontId="71" fillId="0" borderId="0" xfId="0" applyFont="1" applyAlignment="1">
      <alignment horizontal="center"/>
    </xf>
    <xf numFmtId="0" fontId="72" fillId="39" borderId="0" xfId="0" applyFont="1" applyFill="1" applyAlignment="1">
      <alignment horizontal="center"/>
    </xf>
    <xf numFmtId="0" fontId="56" fillId="0" borderId="0" xfId="0" applyFont="1" applyAlignment="1">
      <alignment horizontal="center" vertical="center" wrapText="1"/>
    </xf>
    <xf numFmtId="0" fontId="41" fillId="0" borderId="0" xfId="81" applyFont="1" applyAlignment="1">
      <alignment horizontal="center"/>
    </xf>
    <xf numFmtId="0" fontId="38" fillId="0" borderId="0" xfId="81" applyAlignment="1">
      <alignment horizontal="center"/>
    </xf>
  </cellXfs>
  <cellStyles count="92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90" builtinId="3"/>
    <cellStyle name="Comma 2" xfId="62" xr:uid="{687ACB29-EBD3-430D-9249-9576BE7A3505}"/>
    <cellStyle name="Comma 2 2" xfId="79" xr:uid="{1E6812E1-7403-44D2-A0A5-984518985132}"/>
    <cellStyle name="Comma 3" xfId="65" xr:uid="{55B62332-FD6D-4B83-A877-14A4D636C79F}"/>
    <cellStyle name="Comma 4" xfId="68" xr:uid="{254C36CA-B701-49E3-8A85-D67D1E25F6F2}"/>
    <cellStyle name="Comma 5" xfId="70" xr:uid="{FF8B6E72-A272-4AF2-923B-96DCC6440CEA}"/>
    <cellStyle name="Currency" xfId="1" builtinId="4" customBuiltin="1"/>
    <cellStyle name="Currency 2" xfId="43" xr:uid="{00000000-0005-0000-0000-00001C000000}"/>
    <cellStyle name="Currency 2 2" xfId="82" xr:uid="{7FDF73F5-07C7-4368-A841-8B5DA69084B7}"/>
    <cellStyle name="Currency 3" xfId="63" xr:uid="{04547C06-1F1B-4EEF-B06E-214B80C35D9D}"/>
    <cellStyle name="Currency 3 2" xfId="84" xr:uid="{8FA387C5-84ED-4F61-9528-86F22FD02DA0}"/>
    <cellStyle name="Currency 4" xfId="66" xr:uid="{EA1980F3-A46F-4A1E-A9FD-B3A9F3E486FD}"/>
    <cellStyle name="Currency 5" xfId="69" xr:uid="{5198C9A6-D5A9-417D-8F1B-74C7ECE4C76A}"/>
    <cellStyle name="Currency 6" xfId="71" xr:uid="{E68EA1BC-2BBD-4490-9525-9E21874751BC}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60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 10" xfId="53" xr:uid="{3BF1C7CA-10CC-4190-A628-8172520F2DB2}"/>
    <cellStyle name="Normal 10 2" xfId="72" xr:uid="{7BCF8D93-7658-4AB7-9906-F49785289D7B}"/>
    <cellStyle name="Normal 10 3" xfId="89" xr:uid="{2CE1F2D1-57A5-4BCC-889B-8A96081D32CD}"/>
    <cellStyle name="Normal 11" xfId="54" xr:uid="{B23772A7-4BC8-433E-BA9A-47C257056837}"/>
    <cellStyle name="Normal 12" xfId="55" xr:uid="{CF83580F-FEE2-4FA8-BCF7-9F17E0D0A856}"/>
    <cellStyle name="Normal 13" xfId="56" xr:uid="{00BE151F-2728-4B1E-9568-150F8515FFB4}"/>
    <cellStyle name="Normal 13 2" xfId="73" xr:uid="{9B889215-59B2-46B3-ADFE-3F1CABE624EC}"/>
    <cellStyle name="Normal 13 3" xfId="88" xr:uid="{1F62A270-D3D1-4A02-8E84-B85CF8AF9356}"/>
    <cellStyle name="Normal 14" xfId="57" xr:uid="{E31815F3-4FB6-44BA-8F29-B26C8F4BE2BB}"/>
    <cellStyle name="Normal 14 2" xfId="74" xr:uid="{CC5F405C-3334-42B9-A4AF-D706DAD523B4}"/>
    <cellStyle name="Normal 14 3" xfId="87" xr:uid="{F707E265-140C-42C0-BFC9-BA926C58DE9B}"/>
    <cellStyle name="Normal 15" xfId="58" xr:uid="{2DD010B0-9F99-4E2F-AD27-F5A44A1F587F}"/>
    <cellStyle name="Normal 15 2" xfId="75" xr:uid="{AD68774F-B7ED-4503-915F-6C6B7A5FCB20}"/>
    <cellStyle name="Normal 15 3" xfId="86" xr:uid="{ED534C6C-8F91-4CF9-82E3-B25F8ED3D7A4}"/>
    <cellStyle name="Normal 16" xfId="59" xr:uid="{F1B2FA8D-A0D6-4058-A00F-A9DA135314F7}"/>
    <cellStyle name="Normal 17" xfId="61" xr:uid="{7D693BF4-659D-4582-99A3-0187C8AB56F2}"/>
    <cellStyle name="Normal 18" xfId="64" xr:uid="{CE9124A3-A3FE-4E06-A2A7-0A6CD8852B85}"/>
    <cellStyle name="Normal 19" xfId="67" xr:uid="{F1E2AAC9-15AC-44A1-9F80-CF02C64AC7A5}"/>
    <cellStyle name="Normal 2" xfId="45" xr:uid="{AE413BDE-D088-4256-A15B-96F800C1C309}"/>
    <cellStyle name="Normal 2 2" xfId="44" xr:uid="{00000000-0005-0000-0000-000027000000}"/>
    <cellStyle name="Normal 2 3" xfId="77" xr:uid="{FDA81EF3-87B7-4845-B9E5-6E908EB5E66D}"/>
    <cellStyle name="Normal 2 4" xfId="81" xr:uid="{9515FF87-1F11-4C78-900F-50B213F061B8}"/>
    <cellStyle name="Normal 20" xfId="76" xr:uid="{156D73F5-2511-4BE0-A63A-C65627E82953}"/>
    <cellStyle name="Normal 21" xfId="78" xr:uid="{66CF44C5-4FFF-480E-94A6-A36A536B7EEE}"/>
    <cellStyle name="Normal 22" xfId="85" xr:uid="{A647BB96-13E9-4CBC-B5E7-5F35ACD65F74}"/>
    <cellStyle name="Normal 3" xfId="46" xr:uid="{89116B5A-59B7-48B3-BE79-AAB6D22B0EC2}"/>
    <cellStyle name="Normal 4" xfId="47" xr:uid="{61C66199-257F-427F-8CCF-329506C65597}"/>
    <cellStyle name="Normal 5" xfId="48" xr:uid="{6582022E-139C-4947-98C2-73ED152A0E98}"/>
    <cellStyle name="Normal 6" xfId="49" xr:uid="{A45C7062-FD34-431B-AB9F-4059E76BF747}"/>
    <cellStyle name="Normal 6 2" xfId="83" xr:uid="{5046D4D2-F413-4BBE-A8CD-F313C25B0D2A}"/>
    <cellStyle name="Normal 7" xfId="50" xr:uid="{DCE8DC1C-E9AC-4CCF-949D-371D69E3AD6B}"/>
    <cellStyle name="Normal 7 2" xfId="80" xr:uid="{E1DF0C1C-C68E-49DF-9853-86F82DADC0FB}"/>
    <cellStyle name="Normal 8" xfId="51" xr:uid="{EB8E7D34-75AF-4AB3-A9F4-BD89C7962362}"/>
    <cellStyle name="Normal 9" xfId="52" xr:uid="{65BC9B2D-F21E-4AF5-A8EF-B9A157BA8D68}"/>
    <cellStyle name="Note" xfId="16" builtinId="10" customBuiltin="1"/>
    <cellStyle name="Output" xfId="11" builtinId="21" customBuiltin="1"/>
    <cellStyle name="Percent" xfId="91" builtinId="5"/>
    <cellStyle name="Title" xfId="2" builtinId="15" customBuiltin="1"/>
    <cellStyle name="Total" xfId="18" builtinId="25" customBuiltin="1"/>
    <cellStyle name="Warning Text" xfId="15" builtinId="11" customBuiltin="1"/>
  </cellStyles>
  <dxfs count="44">
    <dxf>
      <numFmt numFmtId="171" formatCode="m/d/yyyy"/>
    </dxf>
    <dxf>
      <numFmt numFmtId="171" formatCode="m/d/yyyy"/>
    </dxf>
    <dxf>
      <numFmt numFmtId="171" formatCode="m/d/yyyy"/>
    </dxf>
    <dxf>
      <numFmt numFmtId="171" formatCode="m/d/yyyy"/>
    </dxf>
    <dxf>
      <numFmt numFmtId="171" formatCode="m/d/yyyy"/>
    </dxf>
    <dxf>
      <numFmt numFmtId="171" formatCode="m/d/yyyy"/>
    </dxf>
    <dxf>
      <fill>
        <patternFill patternType="none">
          <bgColor auto="1"/>
        </patternFill>
      </fill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171" formatCode="m/d/yyyy"/>
    </dxf>
    <dxf>
      <numFmt numFmtId="171" formatCode="m/d/yyyy"/>
    </dxf>
    <dxf>
      <numFmt numFmtId="17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4" formatCode="0.00%"/>
    </dxf>
    <dxf>
      <font>
        <b val="0"/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4" formatCode="0.00%"/>
    </dxf>
    <dxf>
      <font>
        <b val="0"/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numFmt numFmtId="169" formatCode="m/d/yy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numFmt numFmtId="169" formatCode="m/d/yyyy;@"/>
      <fill>
        <patternFill patternType="none">
          <bgColor auto="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69" formatCode="m/d/yyyy;@"/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bgColor auto="1"/>
        </patternFill>
      </fill>
    </dxf>
    <dxf>
      <numFmt numFmtId="171" formatCode="m/d/yyyy"/>
    </dxf>
    <dxf>
      <numFmt numFmtId="171" formatCode="m/d/yyyy"/>
    </dxf>
  </dxfs>
  <tableStyles count="1" defaultTableStyle="TableStyleMedium2" defaultPivotStyle="PivotStyleLight16">
    <tableStyle name="Invisible" pivot="0" table="0" count="0" xr9:uid="{36F677FB-5AF5-4078-A191-42EBB876B6D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1.xml"/><Relationship Id="rId47" Type="http://schemas.openxmlformats.org/officeDocument/2006/relationships/theme" Target="theme/theme1.xml"/><Relationship Id="rId50" Type="http://schemas.openxmlformats.org/officeDocument/2006/relationships/sharedStrings" Target="sharedStrings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pivotCacheDefinition" Target="pivotCache/pivotCacheDefinition4.xml"/><Relationship Id="rId53" Type="http://schemas.microsoft.com/office/2017/06/relationships/rdRichValueStructure" Target="richData/rdrichvaluestructure.xml"/><Relationship Id="rId58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2.xml"/><Relationship Id="rId48" Type="http://schemas.openxmlformats.org/officeDocument/2006/relationships/connections" Target="connections.xml"/><Relationship Id="rId56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sheetMetadata" Target="metadata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5.xml"/><Relationship Id="rId59" Type="http://schemas.openxmlformats.org/officeDocument/2006/relationships/customXml" Target="../customXml/item4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3.xml"/><Relationship Id="rId54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57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3.xml"/><Relationship Id="rId52" Type="http://schemas.microsoft.com/office/2017/06/relationships/rdRichValue" Target="richData/rdrichvalue.xml"/><Relationship Id="rId60" Type="http://schemas.microsoft.com/office/2006/relationships/vbaProject" Target="vbaProject.bin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89FC5927-8D9C-445A-8956-2986F2B2444D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499534</xdr:colOff>
      <xdr:row>0</xdr:row>
      <xdr:rowOff>8465</xdr:rowOff>
    </xdr:from>
    <xdr:to>
      <xdr:col>2</xdr:col>
      <xdr:colOff>1947334</xdr:colOff>
      <xdr:row>1</xdr:row>
      <xdr:rowOff>220132</xdr:rowOff>
    </xdr:to>
    <xdr:sp macro="[0]!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B8EA0B1-6AB8-E5B5-0606-79F37A8DFECC}"/>
            </a:ext>
          </a:extLst>
        </xdr:cNvPr>
        <xdr:cNvSpPr/>
      </xdr:nvSpPr>
      <xdr:spPr>
        <a:xfrm>
          <a:off x="3048001" y="8465"/>
          <a:ext cx="1447800" cy="406400"/>
        </a:xfrm>
        <a:prstGeom prst="roundRect">
          <a:avLst/>
        </a:prstGeom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169334</xdr:colOff>
      <xdr:row>0</xdr:row>
      <xdr:rowOff>122978</xdr:rowOff>
    </xdr:from>
    <xdr:to>
      <xdr:col>13</xdr:col>
      <xdr:colOff>25401</xdr:colOff>
      <xdr:row>1</xdr:row>
      <xdr:rowOff>364067</xdr:rowOff>
    </xdr:to>
    <xdr:sp macro="[0]!Div6CopyAndSendEmailOtherOption" textlink="">
      <xdr:nvSpPr>
        <xdr:cNvPr id="2" name="Rectangle 1">
          <a:extLst>
            <a:ext uri="{FF2B5EF4-FFF2-40B4-BE49-F238E27FC236}">
              <a16:creationId xmlns:a16="http://schemas.microsoft.com/office/drawing/2014/main" id="{2563A52D-BA60-4440-8BA1-C32A2F17CEC2}"/>
            </a:ext>
          </a:extLst>
        </xdr:cNvPr>
        <xdr:cNvSpPr/>
      </xdr:nvSpPr>
      <xdr:spPr>
        <a:xfrm>
          <a:off x="12293601" y="122978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 VDP Statement</a:t>
          </a:r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3" name="Rectangle 2">
          <a:extLst>
            <a:ext uri="{FF2B5EF4-FFF2-40B4-BE49-F238E27FC236}">
              <a16:creationId xmlns:a16="http://schemas.microsoft.com/office/drawing/2014/main" id="{E22281CB-D33B-44C5-8293-5198EF808CE2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2026028D-884B-4F83-A3F2-6619A6BF6C9C}"/>
            </a:ext>
          </a:extLst>
        </xdr:cNvPr>
        <xdr:cNvSpPr/>
      </xdr:nvSpPr>
      <xdr:spPr>
        <a:xfrm>
          <a:off x="1233678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1226820</xdr:colOff>
      <xdr:row>3</xdr:row>
      <xdr:rowOff>0</xdr:rowOff>
    </xdr:from>
    <xdr:to>
      <xdr:col>18</xdr:col>
      <xdr:colOff>139683</xdr:colOff>
      <xdr:row>26</xdr:row>
      <xdr:rowOff>118714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B3D0C1-9EF8-D452-4FFC-211838159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9660" y="548640"/>
          <a:ext cx="4429743" cy="432495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691236A7-4756-4DCE-AB2F-F86A88E1F1C9}"/>
            </a:ext>
          </a:extLst>
        </xdr:cNvPr>
        <xdr:cNvSpPr/>
      </xdr:nvSpPr>
      <xdr:spPr>
        <a:xfrm>
          <a:off x="23591520" y="220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C4E17D4E-D91A-4E06-857E-62583C03B7B7}"/>
            </a:ext>
          </a:extLst>
        </xdr:cNvPr>
        <xdr:cNvSpPr/>
      </xdr:nvSpPr>
      <xdr:spPr>
        <a:xfrm>
          <a:off x="23804880" y="220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6" name="Rectangle 5">
          <a:extLst>
            <a:ext uri="{FF2B5EF4-FFF2-40B4-BE49-F238E27FC236}">
              <a16:creationId xmlns:a16="http://schemas.microsoft.com/office/drawing/2014/main" id="{34BAEC28-1BF2-4117-B880-0C44325ED66B}"/>
            </a:ext>
          </a:extLst>
        </xdr:cNvPr>
        <xdr:cNvSpPr/>
      </xdr:nvSpPr>
      <xdr:spPr>
        <a:xfrm>
          <a:off x="23804880" y="220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data12345"/>
      <sheetName val="Sheet1"/>
      <sheetName val="samradapps_datepicker_221114"/>
    </sheetNames>
    <definedNames>
      <definedName name="dp_core.gridDP_Click"/>
    </defined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56.631547800927" createdVersion="8" refreshedVersion="8" minRefreshableVersion="3" recordCount="105" xr:uid="{40C33D49-C19C-4235-A9ED-8A3B6A7EC5AD}">
  <cacheSource type="worksheet">
    <worksheetSource name="TrapezeReport"/>
  </cacheSource>
  <cacheFields count="15">
    <cacheField name="Date" numFmtId="14">
      <sharedItems containsSemiMixedTypes="0" containsNonDate="0" containsDate="1" containsString="0" minDate="2024-08-26T00:00:00" maxDate="2024-12-16T00:00:00" count="96">
        <d v="2024-12-02T00:00:00"/>
        <d v="2024-12-03T00:00:00"/>
        <d v="2024-12-04T00:00:00"/>
        <d v="2024-12-05T00:00:00"/>
        <d v="2024-12-06T00:00:00"/>
        <d v="2024-12-09T00:00:00"/>
        <d v="2024-12-10T00:00:00"/>
        <d v="2024-12-11T00:00:00"/>
        <d v="2024-12-12T00:00:00"/>
        <d v="2024-12-13T00:00:00"/>
        <d v="2024-12-08T00:00:00"/>
        <d v="2024-12-15T00:00:00"/>
        <d v="2024-12-14T00:00:00"/>
        <d v="2024-11-18T00:00:00" u="1"/>
        <d v="2024-11-19T00:00:00" u="1"/>
        <d v="2024-11-20T00:00:00" u="1"/>
        <d v="2024-11-21T00:00:00" u="1"/>
        <d v="2024-11-22T00:00:00" u="1"/>
        <d v="2024-11-25T00:00:00" u="1"/>
        <d v="2024-11-26T00:00:00" u="1"/>
        <d v="2024-11-27T00:00:00" u="1"/>
        <d v="2024-11-29T00:00:00" u="1"/>
        <d v="2024-11-24T00:00:00" u="1"/>
        <d v="2024-11-04T00:00:00" u="1"/>
        <d v="2024-11-05T00:00:00" u="1"/>
        <d v="2024-11-06T00:00:00" u="1"/>
        <d v="2024-11-07T00:00:00" u="1"/>
        <d v="2024-11-08T00:00:00" u="1"/>
        <d v="2024-11-11T00:00:00" u="1"/>
        <d v="2024-11-12T00:00:00" u="1"/>
        <d v="2024-11-13T00:00:00" u="1"/>
        <d v="2024-11-14T00:00:00" u="1"/>
        <d v="2024-11-15T00:00:00" u="1"/>
        <d v="2024-11-09T00:00:00" u="1"/>
        <d v="2024-11-10T00:00:00" u="1"/>
        <d v="2024-11-17T00:00:00" u="1"/>
        <d v="2024-10-21T00:00:00" u="1"/>
        <d v="2024-10-22T00:00:00" u="1"/>
        <d v="2024-10-23T00:00:00" u="1"/>
        <d v="2024-10-24T00:00:00" u="1"/>
        <d v="2024-10-25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0-07T00:00:00" u="1"/>
        <d v="2024-10-08T00:00:00" u="1"/>
        <d v="2024-10-09T00:00:00" u="1"/>
        <d v="2024-10-10T00:00:00" u="1"/>
        <d v="2024-10-11T00:00:00" u="1"/>
        <d v="2024-10-14T00:00:00" u="1"/>
        <d v="2024-10-15T00:00:00" u="1"/>
        <d v="2024-10-16T00:00:00" u="1"/>
        <d v="2024-10-17T00:00:00" u="1"/>
        <d v="2024-10-18T00:00:00" u="1"/>
        <d v="2024-10-20T00:00:00" u="1"/>
        <d v="2024-09-23T00:00:00" u="1"/>
        <d v="2024-09-24T00:00:00" u="1"/>
        <d v="2024-09-25T00:00:00" u="1"/>
        <d v="2024-09-26T00:00:00" u="1"/>
        <d v="2024-09-27T00:00:00" u="1"/>
        <d v="2024-09-30T00:00:00" u="1"/>
        <d v="2024-10-01T00:00:00" u="1"/>
        <d v="2024-10-02T00:00:00" u="1"/>
        <d v="2024-10-03T00:00:00" u="1"/>
        <d v="2024-10-04T00:00:00" u="1"/>
        <d v="2024-09-28T00:00:00" u="1"/>
        <d v="2024-10-06T00:00:00" u="1"/>
        <d v="2024-10-05T00:00:00" u="1"/>
        <d v="2024-09-09T00:00:00" u="1"/>
        <d v="2024-09-10T00:00:00" u="1"/>
        <d v="2024-09-11T00:00:00" u="1"/>
        <d v="2024-09-12T00:00:00" u="1"/>
        <d v="2024-09-13T00:00:00" u="1"/>
        <d v="2024-09-16T00:00:00" u="1"/>
        <d v="2024-09-17T00:00:00" u="1"/>
        <d v="2024-09-18T00:00:00" u="1"/>
        <d v="2024-09-19T00:00:00" u="1"/>
        <d v="2024-09-20T00:00:00" u="1"/>
        <d v="2024-09-15T00:00:00" u="1"/>
        <d v="2024-09-14T00:00:00" u="1"/>
        <d v="2024-09-21T00:00:00" u="1"/>
        <d v="2024-08-26T00:00:00" u="1"/>
        <d v="2024-08-27T00:00:00" u="1"/>
        <d v="2024-08-28T00:00:00" u="1"/>
        <d v="2024-08-29T00:00:00" u="1"/>
        <d v="2024-08-30T00:00:00" u="1"/>
        <d v="2024-09-03T00:00:00" u="1"/>
        <d v="2024-09-04T00:00:00" u="1"/>
        <d v="2024-09-05T00:00:00" u="1"/>
        <d v="2024-09-06T00:00:00" u="1"/>
        <d v="2024-09-08T00:00:00" u="1"/>
        <d v="2024-08-31T00:00:00" u="1"/>
        <d v="2024-09-07T00:00:00" u="1"/>
      </sharedItems>
      <fieldGroup par="14"/>
    </cacheField>
    <cacheField name="VEHICLE TYPE" numFmtId="0">
      <sharedItems/>
    </cacheField>
    <cacheField name="Trips" numFmtId="0">
      <sharedItems containsSemiMixedTypes="0" containsString="0" containsNumber="1" containsInteger="1" minValue="0" maxValue="19"/>
    </cacheField>
    <cacheField name="Manifest" numFmtId="0">
      <sharedItems/>
    </cacheField>
    <cacheField name="Lunch" numFmtId="0">
      <sharedItems containsSemiMixedTypes="0" containsString="0" containsNumber="1" minValue="0" maxValue="0.5"/>
    </cacheField>
    <cacheField name="Hours" numFmtId="0">
      <sharedItems containsSemiMixedTypes="0" containsString="0" containsNumber="1" minValue="0" maxValue="12.23"/>
    </cacheField>
    <cacheField name="Revenue Hours Operated" numFmtId="0">
      <sharedItems containsSemiMixedTypes="0" containsString="0" containsNumber="1" minValue="0" maxValue="11.73"/>
    </cacheField>
    <cacheField name="Miles" numFmtId="0">
      <sharedItems containsSemiMixedTypes="0" containsString="0" containsNumber="1" minValue="0" maxValue="166.7"/>
    </cacheField>
    <cacheField name="PARTNER NAME" numFmtId="0">
      <sharedItems containsBlank="1" count="50">
        <s v="FLASH LOGISTICS LLC"/>
        <s v="MVO TRANSPORTATION"/>
        <s v="ANGELES TRANSPORTATION, LLC"/>
        <s v="MTIGER TRANSPORTATION"/>
        <s v="ARISESIZ LLC"/>
        <s v="PAUL KENNEDY"/>
        <s v="VAMONOS TRANSPORTATION LLC"/>
        <s v="EDIS OSMANOVIC"/>
        <s v="JUST EASY ACCESS RIDE LLC"/>
        <s v="SANVIN VOYAGE LLC"/>
        <s v="ROADRUNNERLIFT23 LLC" u="1"/>
        <s v="ROBY, ARVIN" u="1"/>
        <m u="1"/>
        <s v="BOSTICK, BARRY" u="1"/>
        <s v="KASSAYE, NEBYATE" u="1"/>
        <s v="BETTER COUIERS LLC" u="1"/>
        <s v="MUGENZI, INNOCENT" u="1"/>
        <s v="HIRATA, DAVID" u="1"/>
        <s v="SCOTT, TATEONA" u="1"/>
        <s v="SPINKS, ERNEST" u="1"/>
        <s v="MUNGEZI, INNOCENT" u="1"/>
        <s v="SCOTT, TATEANA" u="1"/>
        <s v="STUMPTOWN SHUTTLE, LLC" u="1"/>
        <s v="JOURNEY TRANSPORTATION, LLC" u="1"/>
        <s v="UNICORN EXPRESS, LLC" u="1"/>
        <s v="DENEBO, FIRAOL" u="1"/>
        <s v="ANDRUSZKO, MARIZA" u="1"/>
        <s v="TRANZFORMERZ, DRE" u="1"/>
        <s v="WAGNER, JOSHUA" u="1"/>
        <s v="WALLS, JADE" u="1"/>
        <s v="TROUNG, VINNIE" u="1"/>
        <s v="MIGHTY TRANSPORTATION, LLC" u="1"/>
        <s v="ORION TRANSIT LLC" u="1"/>
        <s v="WOOLWINE, MICHAEL" u="1"/>
        <s v="NOVA LLC" u="1"/>
        <s v="DAVIS, MICHAEL" u="1"/>
        <s v="WARWICK, LINDSEY" u="1"/>
        <s v="THE CARE CARRIAGE LLC" u="1"/>
        <s v="COLLINS, BILLY" u="1"/>
        <s v="FLORES CALDERON, ANDY" u="1"/>
        <s v="HIZA TORRICO, ALEJANDRO" u="1"/>
        <s v="ROGERS, ABRAHAM" u="1"/>
        <s v="FELCH, KENNETH" u="1"/>
        <s v="MTIGER TRANSPORTATION." u="1"/>
        <s v="SPENCERS TRANSPORTATION LLC" u="1"/>
        <s v="ALCAIRE, DAMASO" u="1"/>
        <s v="MERRILL, TIMOTHY" u="1"/>
        <s v="MAX FOCUS TRANSIT LLC" u="1"/>
        <s v="JK TRANSIT LLC" u="1"/>
        <s v="VISAGE, GUY" u="1"/>
      </sharedItems>
    </cacheField>
    <cacheField name="Trip Base Rate" numFmtId="0">
      <sharedItems containsSemiMixedTypes="0" containsString="0" containsNumber="1" minValue="0" maxValue="28" count="4">
        <n v="21.5"/>
        <n v="0" u="1"/>
        <n v="28" u="1"/>
        <n v="26.5" u="1"/>
      </sharedItems>
    </cacheField>
    <cacheField name="TTL Rev" numFmtId="0">
      <sharedItems containsSemiMixedTypes="0" containsString="0" containsNumber="1" minValue="0" maxValue="408.5"/>
    </cacheField>
    <cacheField name="Cash Fares Collected" numFmtId="0">
      <sharedItems containsSemiMixedTypes="0" containsString="0" containsNumber="1" minValue="0" maxValue="14"/>
    </cacheField>
    <cacheField name="OPERATOR NAME" numFmtId="0">
      <sharedItems/>
    </cacheField>
    <cacheField name="Days (Date)" numFmtId="0" databaseField="0">
      <fieldGroup base="0">
        <rangePr groupBy="days" startDate="2024-12-02T00:00:00" endDate="2024-12-16T00:00:00"/>
        <groupItems count="368">
          <s v="&lt;12/2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2/16/2024"/>
        </groupItems>
      </fieldGroup>
    </cacheField>
    <cacheField name="Months (Date)" numFmtId="0" databaseField="0">
      <fieldGroup base="0">
        <rangePr groupBy="months" startDate="2024-12-02T00:00:00" endDate="2024-12-16T00:00:00"/>
        <groupItems count="14">
          <s v="&lt;12/2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16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56.631548148151" createdVersion="8" refreshedVersion="8" minRefreshableVersion="3" recordCount="61" xr:uid="{ACBFD0A0-725A-42C5-82E6-F68A71B988C1}">
  <cacheSource type="worksheet">
    <worksheetSource name="JasperReport"/>
  </cacheSource>
  <cacheFields count="6">
    <cacheField name="Ride Date" numFmtId="14">
      <sharedItems containsSemiMixedTypes="0" containsNonDate="0" containsDate="1" containsString="0" minDate="2024-08-26T00:00:00" maxDate="2024-12-15T00:00:00" count="85">
        <d v="2024-12-02T00:00:00"/>
        <d v="2024-12-03T00:00:00"/>
        <d v="2024-12-04T00:00:00"/>
        <d v="2024-12-05T00:00:00"/>
        <d v="2024-12-06T00:00:00"/>
        <d v="2024-12-09T00:00:00"/>
        <d v="2024-12-10T00:00:00"/>
        <d v="2024-12-11T00:00:00"/>
        <d v="2024-12-12T00:00:00"/>
        <d v="2024-12-13T00:00:00"/>
        <d v="2024-12-14T00:00:00"/>
        <d v="2024-11-18T00:00:00" u="1"/>
        <d v="2024-11-19T00:00:00" u="1"/>
        <d v="2024-11-20T00:00:00" u="1"/>
        <d v="2024-11-21T00:00:00" u="1"/>
        <d v="2024-11-22T00:00:00" u="1"/>
        <d v="2024-11-24T00:00:00" u="1"/>
        <d v="2024-11-25T00:00:00" u="1"/>
        <d v="2024-11-26T00:00:00" u="1"/>
        <d v="2024-11-27T00:00:00" u="1"/>
        <d v="2024-11-29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7T00:00:00" u="1"/>
        <d v="2024-11-01T00:00:00" u="1"/>
        <d v="2024-10-21T00:00:00" u="1"/>
        <d v="2024-10-22T00:00:00" u="1"/>
        <d v="2024-10-23T00:00:00" u="1"/>
        <d v="2024-11-02T00:00:00" u="1"/>
        <d v="2024-10-24T00:00:00" u="1"/>
        <d v="2024-10-25T00:00:00" u="1"/>
        <d v="2024-10-28T00:00:00" u="1"/>
        <d v="2024-10-29T00:00:00" u="1"/>
        <d v="2024-10-30T00:00:00" u="1"/>
        <d v="2024-10-31T00:00:00" u="1"/>
        <d v="2024-10-07T00:00:00" u="1"/>
        <d v="2024-10-09T00:00:00" u="1"/>
        <d v="2024-10-10T00:00:00" u="1"/>
        <d v="2024-10-08T00:00:00" u="1"/>
        <d v="2024-10-11T00:00:00" u="1"/>
        <d v="2024-10-14T00:00:00" u="1"/>
        <d v="2024-10-15T00:00:00" u="1"/>
        <d v="2024-10-16T00:00:00" u="1"/>
        <d v="2024-10-17T00:00:00" u="1"/>
        <d v="2024-10-18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30T00:00:00" u="1"/>
        <d v="2024-10-01T00:00:00" u="1"/>
        <d v="2024-10-02T00:00:00" u="1"/>
        <d v="2024-10-03T00:00:00" u="1"/>
        <d v="2024-10-04T00:00:00" u="1"/>
        <d v="2024-09-09T00:00:00" u="1"/>
        <d v="2024-09-11T00:00:00" u="1"/>
        <d v="2024-09-12T00:00:00" u="1"/>
        <d v="2024-09-10T00:00:00" u="1"/>
        <d v="2024-09-13T00:00:00" u="1"/>
        <d v="2024-09-16T00:00:00" u="1"/>
        <d v="2024-09-17T00:00:00" u="1"/>
        <d v="2024-09-18T00:00:00" u="1"/>
        <d v="2024-09-19T00:00:00" u="1"/>
        <d v="2024-09-20T00:00:00" u="1"/>
        <d v="2024-08-26T00:00:00" u="1"/>
        <d v="2024-08-27T00:00:00" u="1"/>
        <d v="2024-08-28T00:00:00" u="1"/>
        <d v="2024-08-29T00:00:00" u="1"/>
        <d v="2024-08-30T00:00:00" u="1"/>
        <d v="2024-09-03T00:00:00" u="1"/>
        <d v="2024-09-04T00:00:00" u="1"/>
        <d v="2024-09-05T00:00:00" u="1"/>
        <d v="2024-09-06T00:00:00" u="1"/>
      </sharedItems>
    </cacheField>
    <cacheField name="Route" numFmtId="0">
      <sharedItems/>
    </cacheField>
    <cacheField name="Fare Type" numFmtId="0">
      <sharedItems/>
    </cacheField>
    <cacheField name="Operator Name" numFmtId="0">
      <sharedItems containsBlank="1" count="21">
        <s v="ALCAIRE, DAMASO"/>
        <s v="KENNEDY, PAUL"/>
        <s v="OSMANOVIC, EDIS"/>
        <s v="FLORES CALDERON, ANDY"/>
        <s v="MUGENZI, INNOCENT"/>
        <s v="ROBY, ARVIN"/>
        <s v="MERRILL, TIMOTHY"/>
        <s v="KIRUMIRA, MPAGI"/>
        <s v="DENEBO, FIRAOL"/>
        <s v="HIZA TORRICO, ALEJANDRO"/>
        <m u="1"/>
        <s v="WOOLWINE, MICHAEL" u="1"/>
        <s v="HALL, RAYMOND" u="1"/>
        <s v="KASSAYE, NEBYATE" u="1"/>
        <s v="WALLS, JADE" u="1"/>
        <s v="HIRATA, DAVID" u="1"/>
        <s v="SCOTT, TATEONA" u="1"/>
        <s v="PALACIOS CRUZ, ERICK" u="1"/>
        <s v="ASHWOOD, JESSE" u="1"/>
        <s v="SPINKS, ERNEST" u="1"/>
        <s v="KASSAYE, NEBAYTE" u="1"/>
      </sharedItems>
    </cacheField>
    <cacheField name="Cash Fares Collected" numFmtId="0">
      <sharedItems containsSemiMixedTypes="0" containsString="0" containsNumber="1" minValue="2.8" maxValue="14"/>
    </cacheField>
    <cacheField name="DIV10PartnerList.PARTNER NAME" numFmtId="0">
      <sharedItems containsBlank="1" count="19">
        <s v="FLASH LOGISTICS LLC"/>
        <s v="PAUL KENNEDY"/>
        <s v="EDIS OSMANOVIC"/>
        <s v="MVO TRANSPORTATION"/>
        <s v="JUST EASY ACCESS RIDE LLC"/>
        <s v="SANVIN VOYAGE LLC"/>
        <s v="MTIGER TRANSPORTATION"/>
        <s v="VAMONOS TRANSPORTATION LLC"/>
        <s v="ANGELES TRANSPORTATION, LLC"/>
        <s v="ARISESIZ LLC"/>
        <m u="1"/>
        <s v="ROBY, ARVIN" u="1"/>
        <s v="ROADRUNNERLIFT23 LLC" u="1"/>
        <s v="BETTER COUIERS LLC" u="1"/>
        <s v="KASSAYE, NEBYATE" u="1"/>
        <s v="MUGENZI, INNOCENT" u="1"/>
        <s v="HIRATA, DAVID" u="1"/>
        <s v="SCOTT, TATEONA" u="1"/>
        <s v="SPINKS, ERNEST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56.631548379628" createdVersion="8" refreshedVersion="8" minRefreshableVersion="3" recordCount="14" xr:uid="{98C757A3-7E1F-4858-92C0-1A222294E78F}">
  <cacheSource type="worksheet">
    <worksheetSource name="CoastTransactionsChecks"/>
  </cacheSource>
  <cacheFields count="8">
    <cacheField name="Date" numFmtId="14">
      <sharedItems containsSemiMixedTypes="0" containsNonDate="0" containsDate="1" containsString="0" minDate="2024-12-02T00:00:00" maxDate="2024-12-16T00:00:00"/>
    </cacheField>
    <cacheField name="User" numFmtId="0">
      <sharedItems containsBlank="1" count="8">
        <s v="DHARON DEPASS"/>
        <s v="ANTOINETTE SMITH"/>
        <s v="DOMINQUE CARR"/>
        <s v="ANTHONY PUGH"/>
        <s v="EDIS OSMANOVIC" u="1"/>
        <s v="PAUL KENNEDY" u="1"/>
        <s v="EDIS OSAMANOVIC" u="1"/>
        <m u="1"/>
      </sharedItems>
    </cacheField>
    <cacheField name="Amount" numFmtId="0">
      <sharedItems containsSemiMixedTypes="0" containsString="0" containsNumber="1" minValue="21.01" maxValue="39"/>
    </cacheField>
    <cacheField name="Gallons" numFmtId="0">
      <sharedItems containsSemiMixedTypes="0" containsString="0" containsNumber="1" minValue="5.59" maxValue="10.130000000000001"/>
    </cacheField>
    <cacheField name="Cost Per Gallon" numFmtId="0">
      <sharedItems containsSemiMixedTypes="0" containsString="0" containsNumber="1" minValue="3.6" maxValue="4.28"/>
    </cacheField>
    <cacheField name="Computed Amount" numFmtId="0">
      <sharedItems containsSemiMixedTypes="0" containsString="0" containsNumber="1" minValue="21.008400000000002" maxValue="39.007800000000003"/>
    </cacheField>
    <cacheField name="Diff" numFmtId="0">
      <sharedItems containsSemiMixedTypes="0" containsString="0" containsNumber="1" minValue="-1.1600000000001387E-2" maxValue="1.9999999999996021E-2"/>
    </cacheField>
    <cacheField name="PARTNER NAME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56.631548495374" createdVersion="8" refreshedVersion="8" minRefreshableVersion="3" recordCount="8" xr:uid="{CA3BD31B-D52C-4EA9-9156-317225E8F2BD}">
  <cacheSource type="worksheet">
    <worksheetSource name="SumUberReport"/>
  </cacheSource>
  <cacheFields count="61">
    <cacheField name="WeekN" numFmtId="0">
      <sharedItems count="2">
        <s v="Week 1"/>
        <s v="Week 2"/>
      </sharedItems>
    </cacheField>
    <cacheField name="Allowable Hours" numFmtId="0">
      <sharedItems containsSemiMixedTypes="0" containsString="0" containsNumber="1" containsInteger="1" minValue="36" maxValue="48"/>
    </cacheField>
    <cacheField name="Online Hours" numFmtId="0">
      <sharedItems containsSemiMixedTypes="0" containsString="0" containsNumber="1" minValue="37.31" maxValue="49.019999999999996"/>
    </cacheField>
    <cacheField name="Payable Online Hours" numFmtId="0">
      <sharedItems containsSemiMixedTypes="0" containsString="0" containsNumber="1" minValue="36" maxValue="48"/>
    </cacheField>
    <cacheField name="% of Hours to Required" numFmtId="0">
      <sharedItems containsSemiMixedTypes="0" containsString="0" containsNumber="1" minValue="0.98041666666666705" maxValue="1"/>
    </cacheField>
    <cacheField name="Core Hours Rev" numFmtId="0">
      <sharedItems containsSemiMixedTypes="0" containsString="0" containsNumber="1" minValue="760.5" maxValue="1014"/>
    </cacheField>
    <cacheField name="CHI Tier 1 Rev" numFmtId="0">
      <sharedItems containsSemiMixedTypes="0" containsString="0" containsNumber="1" minValue="234" maxValue="312"/>
    </cacheField>
    <cacheField name="CHI Tier 2 Rev" numFmtId="0">
      <sharedItems containsSemiMixedTypes="0" containsString="0" containsNumber="1" containsInteger="1" minValue="0" maxValue="0"/>
    </cacheField>
    <cacheField name="CHI Tier 3 Rev" numFmtId="0">
      <sharedItems containsSemiMixedTypes="0" containsString="0" containsNumber="1" containsInteger="1" minValue="0" maxValue="0"/>
    </cacheField>
    <cacheField name="Acceptance Rate" numFmtId="0">
      <sharedItems containsSemiMixedTypes="0" containsString="0" containsNumber="1" minValue="0.94444444444444398" maxValue="1"/>
    </cacheField>
    <cacheField name="Cancellation Rate" numFmtId="0">
      <sharedItems containsSemiMixedTypes="0" containsString="0" containsNumber="1" minValue="0" maxValue="9.0909090909090898E-2"/>
    </cacheField>
    <cacheField name="Tier 1 ARDCRI KPI Rev" numFmtId="0">
      <sharedItems containsSemiMixedTypes="0" containsString="0" containsNumber="1" minValue="0" maxValue="156"/>
    </cacheField>
    <cacheField name="Tier 2 ARDCRI KPI Rev" numFmtId="0">
      <sharedItems containsSemiMixedTypes="0" containsString="0" containsNumber="1" minValue="0" maxValue="58.5"/>
    </cacheField>
    <cacheField name="Utilization%" numFmtId="0">
      <sharedItems containsSemiMixedTypes="0" containsString="0" containsNumber="1" minValue="9.2767697418860207E-2" maxValue="0.30080456786919302"/>
    </cacheField>
    <cacheField name="Utilization Rev" numFmtId="0">
      <sharedItems containsSemiMixedTypes="0" containsString="0" containsNumber="1" containsInteger="1" minValue="0" maxValue="0"/>
    </cacheField>
    <cacheField name="Driver Tips" numFmtId="0">
      <sharedItems containsSemiMixedTypes="0" containsString="0" containsNumber="1" minValue="3" maxValue="36.380000000000003"/>
    </cacheField>
    <cacheField name="Tolls" numFmtId="0">
      <sharedItems containsSemiMixedTypes="0" containsString="0" containsNumber="1" containsInteger="1" minValue="0" maxValue="0"/>
    </cacheField>
    <cacheField name="CHI Non-KPI" numFmtId="0">
      <sharedItems containsSemiMixedTypes="0" containsString="0" containsNumber="1" containsInteger="1" minValue="0" maxValue="0"/>
    </cacheField>
    <cacheField name="Total Rev" numFmtId="0">
      <sharedItems containsSemiMixedTypes="0" containsString="0" containsNumber="1" minValue="1081" maxValue="1504.42"/>
    </cacheField>
    <cacheField name="Required" numFmtId="0">
      <sharedItems containsSemiMixedTypes="0" containsString="0" containsNumber="1" containsInteger="1" minValue="36" maxValue="48"/>
    </cacheField>
    <cacheField name="CHI Rev" numFmtId="0">
      <sharedItems containsSemiMixedTypes="0" containsString="0" containsNumber="1" minValue="234" maxValue="312"/>
    </cacheField>
    <cacheField name="Tier 1 ARDCRI KPI" numFmtId="0">
      <sharedItems containsSemiMixedTypes="0" containsString="0" containsNumber="1" minValue="0" maxValue="48"/>
    </cacheField>
    <cacheField name="Tier 2 ARDCRI KPI" numFmtId="0">
      <sharedItems containsSemiMixedTypes="0" containsString="0" containsNumber="1" containsInteger="1" minValue="0" maxValue="36"/>
    </cacheField>
    <cacheField name="Total Expired Offers" numFmtId="0">
      <sharedItems containsSemiMixedTypes="0" containsString="0" containsNumber="1" containsInteger="1" minValue="0" maxValue="0"/>
    </cacheField>
    <cacheField name="Total ARDCRI KPI Rev" numFmtId="0">
      <sharedItems containsSemiMixedTypes="0" containsString="0" containsNumber="1" minValue="0" maxValue="156"/>
    </cacheField>
    <cacheField name="Approved Extra Hours" numFmtId="0">
      <sharedItems containsSemiMixedTypes="0" containsString="0" containsNumber="1" containsInteger="1" minValue="0" maxValue="0"/>
    </cacheField>
    <cacheField name="Payable Bonus Hours" numFmtId="0">
      <sharedItems containsSemiMixedTypes="0" containsString="0" containsNumber="1" containsInteger="1" minValue="0" maxValue="0"/>
    </cacheField>
    <cacheField name="Week" numFmtId="14">
      <sharedItems containsSemiMixedTypes="0" containsNonDate="0" containsDate="1" containsString="0" minDate="2024-12-02T00:00:00" maxDate="2024-12-10T00:00:00"/>
    </cacheField>
    <cacheField name="PARTNER NAME" numFmtId="0">
      <sharedItems containsBlank="1" count="7">
        <s v="DOMINIQUE CARR"/>
        <s v="BAMS TRANSIT"/>
        <s v="JAMAAL PERRY"/>
        <s v="DHARON DEPASS"/>
        <s v="ROADRUNNERLIFT23 LLC"/>
        <m u="1"/>
        <s v="FLASH LOGISTICS LLC" u="1"/>
      </sharedItems>
    </cacheField>
    <cacheField name="Bonus Hours Rev" numFmtId="0">
      <sharedItems containsSemiMixedTypes="0" containsString="0" containsNumber="1" containsInteger="1" minValue="0" maxValue="0"/>
    </cacheField>
    <cacheField name="Total Comp Trips" numFmtId="0">
      <sharedItems containsSemiMixedTypes="0" containsString="0" containsNumber="1" containsInteger="1" minValue="3" maxValue="15"/>
    </cacheField>
    <cacheField name="Total Supply Hours" numFmtId="0">
      <sharedItems containsSemiMixedTypes="0" containsString="0" containsNumber="1" minValue="37.31" maxValue="49.23"/>
    </cacheField>
    <cacheField name="Paused Hours" numFmtId="0">
      <sharedItems containsSemiMixedTypes="0" containsString="0" containsNumber="1" minValue="0" maxValue="1.19"/>
    </cacheField>
    <cacheField name="WAV Trips" numFmtId="0">
      <sharedItems containsSemiMixedTypes="0" containsString="0" containsNumber="1" containsInteger="1" minValue="3" maxValue="15"/>
    </cacheField>
    <cacheField name="Non WAV Trips" numFmtId="0">
      <sharedItems containsSemiMixedTypes="0" containsString="0" containsNumber="1" containsInteger="1" minValue="0" maxValue="0"/>
    </cacheField>
    <cacheField name="Utilized Hours" numFmtId="0">
      <sharedItems containsSemiMixedTypes="0" containsString="0" containsNumber="1" minValue="3.63" maxValue="13.44"/>
    </cacheField>
    <cacheField name="Open Hours" numFmtId="0">
      <sharedItems containsSemiMixedTypes="0" containsString="0" containsNumber="1" minValue="26.93" maxValue="42.56"/>
    </cacheField>
    <cacheField name="Core Total Supply Hours" numFmtId="0">
      <sharedItems containsSemiMixedTypes="0" containsString="0" containsNumber="1" minValue="1.19" maxValue="43.37"/>
    </cacheField>
    <cacheField name="Core Utilized Hours" numFmtId="0">
      <sharedItems containsSemiMixedTypes="0" containsString="0" containsNumber="1" minValue="0" maxValue="13.44"/>
    </cacheField>
    <cacheField name="Trips Per Hours" numFmtId="0">
      <sharedItems containsSemiMixedTypes="0" containsString="0" containsNumber="1" minValue="0.06" maxValue="0.38"/>
    </cacheField>
    <cacheField name="Total Accepts" numFmtId="0">
      <sharedItems containsSemiMixedTypes="0" containsString="0" containsNumber="1" containsInteger="1" minValue="9" maxValue="17"/>
    </cacheField>
    <cacheField name="Total Rejects" numFmtId="0">
      <sharedItems containsSemiMixedTypes="0" containsString="0" containsNumber="1" containsInteger="1" minValue="0" maxValue="1"/>
    </cacheField>
    <cacheField name="Total Cancels" numFmtId="0">
      <sharedItems containsSemiMixedTypes="0" containsString="0" containsNumber="1" containsInteger="1" minValue="0" maxValue="1"/>
    </cacheField>
    <cacheField name="KPI Hours" numFmtId="0">
      <sharedItems containsSemiMixedTypes="0" containsString="0" containsNumber="1" minValue="0" maxValue="49.019999999999996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minValue="0.7" maxValue="0.7"/>
    </cacheField>
    <cacheField name="Rate" numFmtId="0">
      <sharedItems containsSemiMixedTypes="0" containsString="0" containsNumber="1" minValue="32.5" maxValue="32.5"/>
    </cacheField>
    <cacheField name="Bonus Rate" numFmtId="0">
      <sharedItems containsSemiMixedTypes="0" containsString="0" containsNumber="1" containsInteger="1" minValue="0" maxValue="0"/>
    </cacheField>
    <cacheField name="Core Rate" numFmtId="0">
      <sharedItems containsSemiMixedTypes="0" containsString="0" containsNumber="1" minValue="0.65" maxValue="0.65"/>
    </cacheField>
    <cacheField name="CHI Tier 1" numFmtId="0">
      <sharedItems containsSemiMixedTypes="0" containsString="0" containsNumber="1" minValue="0.98" maxValue="0.98"/>
    </cacheField>
    <cacheField name="CHI Tier 2" numFmtId="0">
      <sharedItems containsSemiMixedTypes="0" containsString="0" containsNumber="1" minValue="0.96" maxValue="0.96"/>
    </cacheField>
    <cacheField name="CHI Tier 3" numFmtId="0">
      <sharedItems containsSemiMixedTypes="0" containsString="0" containsNumber="1" minValue="0.9" maxValue="0.9"/>
    </cacheField>
    <cacheField name="CHI Tier 1 Rate" numFmtId="0">
      <sharedItems containsSemiMixedTypes="0" containsString="0" containsNumber="1" minValue="0.2" maxValue="0.2"/>
    </cacheField>
    <cacheField name="CHI Tier 2 Rate" numFmtId="0">
      <sharedItems containsSemiMixedTypes="0" containsString="0" containsNumber="1" minValue="0.1" maxValue="0.1"/>
    </cacheField>
    <cacheField name="CHI Tier 3 Rate" numFmtId="0">
      <sharedItems containsSemiMixedTypes="0" containsString="0" containsNumber="1" minValue="0.05" maxValue="0.05"/>
    </cacheField>
    <cacheField name="Utilization Incentive Rate" numFmtId="0">
      <sharedItems containsSemiMixedTypes="0" containsString="0" containsNumber="1" minValue="0.05" maxValue="0.05"/>
    </cacheField>
    <cacheField name="Normal Hours" numFmtId="0">
      <sharedItems containsSemiMixedTypes="0" containsString="0" containsNumber="1" containsInteger="1" minValue="36" maxValue="48"/>
    </cacheField>
    <cacheField name="Bonus Hours" numFmtId="0">
      <sharedItems containsSemiMixedTypes="0" containsString="0" containsNumber="1" containsInteger="1" minValue="0" maxValue="0"/>
    </cacheField>
    <cacheField name="ARDCRI Non KPI" numFmtId="0">
      <sharedItems containsSemiMixedTypes="0" containsString="0" containsNumber="1" containsInteger="1" minValue="0" maxValue="48"/>
    </cacheField>
    <cacheField name="Driver Earnings Excl Tips" numFmtId="0">
      <sharedItems containsSemiMixedTypes="0" containsString="0" containsNumber="1" minValue="42.22" maxValue="302.5899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pple Ramirez" refreshedDate="45656.631548726851" createdVersion="8" refreshedVersion="8" minRefreshableVersion="3" recordCount="135" xr:uid="{382EDB37-829F-4EFB-91BC-0DE36D774E76}">
  <cacheSource type="worksheet">
    <worksheetSource name="TrapezeReportChecks"/>
  </cacheSource>
  <cacheFields count="12">
    <cacheField name="Date" numFmtId="14">
      <sharedItems containsSemiMixedTypes="0" containsNonDate="0" containsDate="1" containsString="0" minDate="2024-12-02T00:00:00" maxDate="2024-12-16T00:00:00"/>
    </cacheField>
    <cacheField name="VEHICLE TYPE" numFmtId="0">
      <sharedItems containsBlank="1"/>
    </cacheField>
    <cacheField name="Trips" numFmtId="0">
      <sharedItems containsSemiMixedTypes="0" containsString="0" containsNumber="1" containsInteger="1" minValue="0" maxValue="19"/>
    </cacheField>
    <cacheField name="Manifest" numFmtId="0">
      <sharedItems containsMixedTypes="1" containsNumber="1" containsInteger="1" minValue="901" maxValue="9125" count="31">
        <s v="909"/>
        <s v="907"/>
        <s v="903"/>
        <s v="905"/>
        <s v="910"/>
        <s v="901"/>
        <s v="911"/>
        <s v="904"/>
        <s v="902"/>
        <s v="906"/>
        <s v="913"/>
        <s v="908"/>
        <s v="912"/>
        <n v="910" u="1"/>
        <n v="903" u="1"/>
        <n v="9015" u="1"/>
        <n v="9025" u="1"/>
        <n v="909" u="1"/>
        <n v="9045" u="1"/>
        <n v="9055" u="1"/>
        <n v="902" u="1"/>
        <n v="908" u="1"/>
        <n v="901" u="1"/>
        <n v="9125" u="1"/>
        <n v="907" u="1"/>
        <n v="913" u="1"/>
        <n v="906" u="1"/>
        <n v="912" u="1"/>
        <n v="905" u="1"/>
        <n v="911" u="1"/>
        <n v="904" u="1"/>
      </sharedItems>
    </cacheField>
    <cacheField name="Lunch" numFmtId="0">
      <sharedItems containsSemiMixedTypes="0" containsString="0" containsNumber="1" minValue="0" maxValue="0.5"/>
    </cacheField>
    <cacheField name="Hours" numFmtId="0">
      <sharedItems containsSemiMixedTypes="0" containsString="0" containsNumber="1" minValue="0" maxValue="12.23"/>
    </cacheField>
    <cacheField name="Miles" numFmtId="0">
      <sharedItems containsSemiMixedTypes="0" containsString="0" containsNumber="1" minValue="0" maxValue="166.7"/>
    </cacheField>
    <cacheField name="PARTNER NAME" numFmtId="0">
      <sharedItems containsBlank="1" count="64">
        <m/>
        <s v="ANGELES TRANSPORTATION, LLC"/>
        <s v="ARISESIZ LLC"/>
        <s v="EDIS OSMANOVIC"/>
        <s v="FLASH LOGISTICS LLC"/>
        <s v="JUST EASY ACCESS RIDE LLC"/>
        <s v="MTIGER TRANSPORTATION"/>
        <s v="MVO TRANSPORTATION"/>
        <s v="PAUL KENNEDY"/>
        <s v="SANVIN VOYAGE LLC"/>
        <s v="VAMONOS TRANSPORTATION LLC"/>
        <s v="ROADRUNNERLIFT23 LLC" u="1"/>
        <s v="ROBY, ARVIN" u="1"/>
        <s v="BOSTICK, BARRY" u="1"/>
        <s v="KASSAYE, NEBYATE" u="1"/>
        <s v="BETTER COUIERS LLC" u="1"/>
        <s v="HIRATA, DAVID" u="1"/>
        <s v="SCOTT, TATEONA" u="1"/>
        <s v="SPINKS, ERNEST" u="1"/>
        <s v="MUGENZI, INNOCENT" u="1"/>
        <s v="MUNGEZI, INNOCENT" u="1"/>
        <s v="SCOTT, TATEANA" u="1"/>
        <s v="STUMPTOWN SHUTTLE, LLC" u="1"/>
        <s v="JOURNEY TRANSPORTATION, LLC" u="1"/>
        <s v="UNICORN EXPRESS, LLC" u="1"/>
        <s v="DENEBO, FIRAOL" u="1"/>
        <s v="ANDRUSZKO, MARIZA" u="1"/>
        <s v="TRANZFORMERZ, DRE" u="1"/>
        <s v="WAGNER, JOSHUA" u="1"/>
        <s v="WALLS, JADE" u="1"/>
        <s v="TROUNG, VINNIE" u="1"/>
        <s v="MIGHTY TRANSPORTATION, LLC" u="1"/>
        <s v="ORION TRANSIT LLC" u="1"/>
        <s v="WOOLWINE, MICHAEL" u="1"/>
        <s v="NOVA LLC" u="1"/>
        <s v="DAVIS, MICHAEL" u="1"/>
        <s v="WARWICK, LINDSEY" u="1"/>
        <s v="THE CARE CARRIAGE LLC" u="1"/>
        <s v="COLLINS, BILLY" u="1"/>
        <s v="FLORES CALDERON, ANDY" u="1"/>
        <s v="HIZA TORRICO, ALEJANDRO" u="1"/>
        <s v="ROGERS, ABRAHAM" u="1"/>
        <s v="FELCH, KENNETH" u="1"/>
        <s v="MTIGER TRANSPORTATION." u="1"/>
        <s v="SPENCERS TRANSPORTATION LLC" u="1"/>
        <s v="ALCAIRE, DAMASO" u="1"/>
        <s v="MERRILL, TIMOTHY" u="1"/>
        <s v="MAX FOCUS TRANSIT LLC" u="1"/>
        <s v="JK TRANSIT LLC" u="1"/>
        <s v="VISAGE, GUY" u="1"/>
        <s v="RAMIC, SAFET" u="1"/>
        <s v="SHAFER, SAM" u="1"/>
        <s v="PEEBLES, JARAD" u="1"/>
        <s v="HAWKINS, MICHAEL" u="1"/>
        <s v="ORION TRANSIT" u="1"/>
        <s v="BROWN, DEANGELO" u="1"/>
        <s v="SANCHEZ, ARMANDO" u="1"/>
        <s v="LITVINENKO, VALENTIN" u="1"/>
        <s v="NOTTINGHAM SHIRE LLC" u="1"/>
        <s v="GALEANA, VICTOR" u="1"/>
        <s v="KAKESA, MARCEL" u="1"/>
        <s v="SPENCER, DESHAWN" u="1"/>
        <s v="KEYMOLEN, JEOVANNY" u="1"/>
        <s v="BUKHARI, SYED" u="1"/>
      </sharedItems>
    </cacheField>
    <cacheField name="Hourly Base Rate" numFmtId="0">
      <sharedItems containsString="0" containsBlank="1" containsNumber="1" minValue="21.5" maxValue="21.5"/>
    </cacheField>
    <cacheField name="Revenue Hours Operated" numFmtId="0">
      <sharedItems containsSemiMixedTypes="0" containsString="0" containsNumber="1" minValue="0" maxValue="11.73"/>
    </cacheField>
    <cacheField name="TTL Rev" numFmtId="0">
      <sharedItems containsString="0" containsBlank="1" containsNumber="1" minValue="0" maxValue="252.19499999999999"/>
    </cacheField>
    <cacheField name="Cash Fares Collected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5">
  <r>
    <x v="0"/>
    <s v="LIFT VAN"/>
    <n v="13"/>
    <s v="901"/>
    <n v="0.5"/>
    <n v="10.57"/>
    <n v="10.07"/>
    <n v="75.7"/>
    <x v="0"/>
    <x v="0"/>
    <n v="279.5"/>
    <n v="5.6"/>
    <s v="ALCAIRE, DAMASO"/>
  </r>
  <r>
    <x v="1"/>
    <s v="LIFT VAN"/>
    <n v="6"/>
    <s v="901"/>
    <n v="0.5"/>
    <n v="10"/>
    <n v="9.5"/>
    <n v="94.8"/>
    <x v="0"/>
    <x v="0"/>
    <n v="129"/>
    <n v="2.8"/>
    <s v="ALCAIRE, DAMASO"/>
  </r>
  <r>
    <x v="2"/>
    <s v="LIFT VAN"/>
    <n v="14"/>
    <s v="901"/>
    <n v="0.5"/>
    <n v="10.48"/>
    <n v="9.98"/>
    <n v="100.9"/>
    <x v="0"/>
    <x v="0"/>
    <n v="301"/>
    <n v="2.8"/>
    <s v="ALCAIRE, DAMASO"/>
  </r>
  <r>
    <x v="3"/>
    <s v="LIFT VAN"/>
    <n v="15"/>
    <s v="901"/>
    <n v="0.5"/>
    <n v="10.75"/>
    <n v="10.25"/>
    <n v="122.1"/>
    <x v="0"/>
    <x v="0"/>
    <n v="322.5"/>
    <n v="14"/>
    <s v="ALCAIRE, DAMASO"/>
  </r>
  <r>
    <x v="4"/>
    <s v="LIFT VAN"/>
    <n v="12"/>
    <s v="901"/>
    <n v="0.5"/>
    <n v="10.17"/>
    <n v="9.67"/>
    <n v="106.2"/>
    <x v="0"/>
    <x v="0"/>
    <n v="258"/>
    <n v="2.8"/>
    <s v="ALCAIRE, DAMASO"/>
  </r>
  <r>
    <x v="5"/>
    <s v="LIFT VAN"/>
    <n v="12"/>
    <s v="901"/>
    <n v="0.5"/>
    <n v="9.9499999999999993"/>
    <n v="9.4499999999999993"/>
    <n v="103"/>
    <x v="0"/>
    <x v="0"/>
    <n v="258"/>
    <n v="2.8"/>
    <s v="ALCAIRE, DAMASO"/>
  </r>
  <r>
    <x v="6"/>
    <s v="LIFT VAN"/>
    <n v="18"/>
    <s v="901"/>
    <n v="0.5"/>
    <n v="10.25"/>
    <n v="9.75"/>
    <n v="147.80000000000001"/>
    <x v="0"/>
    <x v="0"/>
    <n v="387"/>
    <n v="5.6"/>
    <s v="ALCAIRE, DAMASO"/>
  </r>
  <r>
    <x v="7"/>
    <s v="LIFT VAN"/>
    <n v="15"/>
    <s v="901"/>
    <n v="0.5"/>
    <n v="10.7"/>
    <n v="10.199999999999999"/>
    <n v="135.4"/>
    <x v="0"/>
    <x v="0"/>
    <n v="322.5"/>
    <n v="2.8"/>
    <s v="ALCAIRE, DAMASO"/>
  </r>
  <r>
    <x v="8"/>
    <s v="LIFT VAN"/>
    <n v="10"/>
    <s v="901"/>
    <n v="0.5"/>
    <n v="10.27"/>
    <n v="9.77"/>
    <n v="102.2"/>
    <x v="0"/>
    <x v="0"/>
    <n v="215"/>
    <n v="2.8"/>
    <s v="ALCAIRE, DAMASO"/>
  </r>
  <r>
    <x v="9"/>
    <s v="LIFT VAN"/>
    <n v="15"/>
    <s v="901"/>
    <n v="0.5"/>
    <n v="11.2"/>
    <n v="10.7"/>
    <n v="153.69999999999999"/>
    <x v="0"/>
    <x v="0"/>
    <n v="322.5"/>
    <n v="0"/>
    <s v="ALCAIRE, DAMASO"/>
  </r>
  <r>
    <x v="0"/>
    <s v="LIFT VAN"/>
    <n v="15"/>
    <s v="902"/>
    <n v="0.5"/>
    <n v="10.220000000000001"/>
    <n v="9.7200000000000006"/>
    <n v="109.4"/>
    <x v="1"/>
    <x v="0"/>
    <n v="322.5"/>
    <n v="2.8"/>
    <s v="FLORES CALDERON, ANDY"/>
  </r>
  <r>
    <x v="1"/>
    <s v="LIFT VAN"/>
    <n v="10"/>
    <s v="902"/>
    <n v="0.5"/>
    <n v="10.67"/>
    <n v="10.17"/>
    <n v="112.9"/>
    <x v="1"/>
    <x v="0"/>
    <n v="215"/>
    <n v="0"/>
    <s v="FLORES CALDERON, ANDY"/>
  </r>
  <r>
    <x v="2"/>
    <s v="LIFT VAN"/>
    <n v="11"/>
    <s v="902"/>
    <n v="0.5"/>
    <n v="10.35"/>
    <n v="9.85"/>
    <n v="116.9"/>
    <x v="1"/>
    <x v="0"/>
    <n v="236.5"/>
    <n v="2.8"/>
    <s v="FLORES CALDERON, ANDY"/>
  </r>
  <r>
    <x v="3"/>
    <s v="LIFT VAN"/>
    <n v="2"/>
    <s v="902"/>
    <n v="0"/>
    <n v="2.4300000000000002"/>
    <n v="2.4300000000000002"/>
    <n v="15.8"/>
    <x v="1"/>
    <x v="0"/>
    <n v="43"/>
    <n v="0"/>
    <s v="FLORES CALDERON, ANDY"/>
  </r>
  <r>
    <x v="4"/>
    <s v="LIFT VAN"/>
    <n v="0"/>
    <s v="902"/>
    <n v="0"/>
    <n v="0"/>
    <n v="0"/>
    <n v="0"/>
    <x v="1"/>
    <x v="0"/>
    <n v="0"/>
    <n v="0"/>
    <s v="FLORES CALDERON, ANDY"/>
  </r>
  <r>
    <x v="5"/>
    <s v="LIFT VAN"/>
    <n v="15"/>
    <s v="902"/>
    <n v="0.5"/>
    <n v="10.72"/>
    <n v="10.220000000000001"/>
    <n v="110"/>
    <x v="1"/>
    <x v="0"/>
    <n v="322.5"/>
    <n v="0"/>
    <s v="FLORES CALDERON, ANDY"/>
  </r>
  <r>
    <x v="6"/>
    <s v="LIFT VAN"/>
    <n v="13"/>
    <s v="902"/>
    <n v="0.5"/>
    <n v="10.02"/>
    <n v="9.52"/>
    <n v="126"/>
    <x v="1"/>
    <x v="0"/>
    <n v="279.5"/>
    <n v="2.8"/>
    <s v="FLORES CALDERON, ANDY"/>
  </r>
  <r>
    <x v="7"/>
    <s v="LIFT VAN"/>
    <n v="12"/>
    <s v="902"/>
    <n v="0.5"/>
    <n v="9.3800000000000008"/>
    <n v="8.8800000000000008"/>
    <n v="114"/>
    <x v="1"/>
    <x v="0"/>
    <n v="258"/>
    <n v="2.8"/>
    <s v="FLORES CALDERON, ANDY"/>
  </r>
  <r>
    <x v="8"/>
    <s v="LIFT VAN"/>
    <n v="11"/>
    <s v="902"/>
    <n v="0.5"/>
    <n v="10.5"/>
    <n v="10"/>
    <n v="112.2"/>
    <x v="1"/>
    <x v="0"/>
    <n v="236.5"/>
    <n v="0"/>
    <s v="FLORES CALDERON, ANDY"/>
  </r>
  <r>
    <x v="9"/>
    <s v="LIFT VAN"/>
    <n v="13"/>
    <s v="902"/>
    <n v="0.5"/>
    <n v="10.17"/>
    <n v="9.67"/>
    <n v="125.9"/>
    <x v="1"/>
    <x v="0"/>
    <n v="279.5"/>
    <n v="2.8"/>
    <s v="FLORES CALDERON, ANDY"/>
  </r>
  <r>
    <x v="0"/>
    <s v="LIFT VAN"/>
    <n v="0"/>
    <s v="903"/>
    <n v="0"/>
    <n v="0"/>
    <n v="0"/>
    <n v="0"/>
    <x v="2"/>
    <x v="0"/>
    <n v="0"/>
    <n v="0"/>
    <s v="DENEBO, FIRAOL"/>
  </r>
  <r>
    <x v="1"/>
    <s v="LIFT VAN"/>
    <n v="11"/>
    <s v="903"/>
    <n v="0.5"/>
    <n v="9.52"/>
    <n v="9.02"/>
    <n v="113.5"/>
    <x v="2"/>
    <x v="0"/>
    <n v="236.5"/>
    <n v="0"/>
    <s v="DENEBO, FIRAOL"/>
  </r>
  <r>
    <x v="2"/>
    <s v="LIFT VAN"/>
    <n v="13"/>
    <s v="903"/>
    <n v="0.5"/>
    <n v="10.77"/>
    <n v="10.27"/>
    <n v="118.8"/>
    <x v="2"/>
    <x v="0"/>
    <n v="279.5"/>
    <n v="8.4"/>
    <s v="DENEBO, FIRAOL"/>
  </r>
  <r>
    <x v="3"/>
    <s v="LIFT VAN"/>
    <n v="12"/>
    <s v="903"/>
    <n v="0.5"/>
    <n v="10.17"/>
    <n v="9.67"/>
    <n v="126.9"/>
    <x v="2"/>
    <x v="0"/>
    <n v="258"/>
    <n v="0"/>
    <s v="DENEBO, FIRAOL"/>
  </r>
  <r>
    <x v="4"/>
    <s v="LIFT VAN"/>
    <n v="10"/>
    <s v="903"/>
    <n v="0.5"/>
    <n v="8.58"/>
    <n v="8.08"/>
    <n v="113.9"/>
    <x v="2"/>
    <x v="0"/>
    <n v="215"/>
    <n v="5.6"/>
    <s v="DENEBO, FIRAOL"/>
  </r>
  <r>
    <x v="5"/>
    <s v="LIFT VAN"/>
    <n v="17"/>
    <s v="903"/>
    <n v="0.5"/>
    <n v="10.45"/>
    <n v="9.9499999999999993"/>
    <n v="131.19999999999999"/>
    <x v="2"/>
    <x v="0"/>
    <n v="365.5"/>
    <n v="0"/>
    <s v="DENEBO, FIRAOL"/>
  </r>
  <r>
    <x v="6"/>
    <s v="LIFT VAN"/>
    <n v="14"/>
    <s v="903"/>
    <n v="0.5"/>
    <n v="9.4700000000000006"/>
    <n v="8.9700000000000006"/>
    <n v="106"/>
    <x v="2"/>
    <x v="0"/>
    <n v="301"/>
    <n v="0"/>
    <s v="DENEBO, FIRAOL"/>
  </r>
  <r>
    <x v="7"/>
    <s v="LIFT VAN"/>
    <n v="11"/>
    <s v="903"/>
    <n v="0.5"/>
    <n v="10.17"/>
    <n v="9.67"/>
    <n v="95.8"/>
    <x v="2"/>
    <x v="0"/>
    <n v="236.5"/>
    <n v="5.6"/>
    <s v="DENEBO, FIRAOL"/>
  </r>
  <r>
    <x v="8"/>
    <s v="LIFT VAN"/>
    <n v="18"/>
    <s v="903"/>
    <n v="0.5"/>
    <n v="10.38"/>
    <n v="9.8800000000000008"/>
    <n v="122.1"/>
    <x v="2"/>
    <x v="0"/>
    <n v="387"/>
    <n v="0"/>
    <s v="DENEBO, FIRAOL"/>
  </r>
  <r>
    <x v="9"/>
    <s v="LIFT VAN"/>
    <n v="14"/>
    <s v="903"/>
    <n v="0.5"/>
    <n v="10.37"/>
    <n v="9.8699999999999992"/>
    <n v="106.7"/>
    <x v="2"/>
    <x v="0"/>
    <n v="301"/>
    <n v="2.8"/>
    <s v="DENEBO, FIRAOL"/>
  </r>
  <r>
    <x v="0"/>
    <s v="LIFT VAN"/>
    <n v="15"/>
    <s v="904"/>
    <n v="0.5"/>
    <n v="10.33"/>
    <n v="9.83"/>
    <n v="126.7"/>
    <x v="3"/>
    <x v="0"/>
    <n v="322.5"/>
    <n v="0"/>
    <s v="MERRILL, TIMOTHY"/>
  </r>
  <r>
    <x v="1"/>
    <s v="LIFT VAN"/>
    <n v="15"/>
    <s v="904"/>
    <n v="0.5"/>
    <n v="10.63"/>
    <n v="10.130000000000001"/>
    <n v="144.19999999999999"/>
    <x v="3"/>
    <x v="0"/>
    <n v="322.5"/>
    <n v="0"/>
    <s v="MERRILL, TIMOTHY"/>
  </r>
  <r>
    <x v="2"/>
    <s v="LIFT VAN"/>
    <n v="12"/>
    <s v="904"/>
    <n v="0.5"/>
    <n v="10.83"/>
    <n v="10.33"/>
    <n v="112.7"/>
    <x v="3"/>
    <x v="0"/>
    <n v="258"/>
    <n v="5.6"/>
    <s v="MERRILL, TIMOTHY"/>
  </r>
  <r>
    <x v="3"/>
    <s v="LIFT VAN"/>
    <n v="15"/>
    <s v="904"/>
    <n v="0.38"/>
    <n v="10.1"/>
    <n v="9.7199999999999989"/>
    <n v="131.80000000000001"/>
    <x v="3"/>
    <x v="0"/>
    <n v="322.5"/>
    <n v="8.4"/>
    <s v="MERRILL, TIMOTHY"/>
  </r>
  <r>
    <x v="4"/>
    <s v="LIFT VAN"/>
    <n v="13"/>
    <s v="904"/>
    <n v="0.5"/>
    <n v="10.1"/>
    <n v="9.6"/>
    <n v="149.30000000000001"/>
    <x v="3"/>
    <x v="0"/>
    <n v="279.5"/>
    <n v="8.4"/>
    <s v="MERRILL, TIMOTHY"/>
  </r>
  <r>
    <x v="5"/>
    <s v="LIFT VAN"/>
    <n v="15"/>
    <s v="904"/>
    <n v="0.5"/>
    <n v="10.37"/>
    <n v="9.8699999999999992"/>
    <n v="115"/>
    <x v="3"/>
    <x v="0"/>
    <n v="322.5"/>
    <n v="5.6"/>
    <s v="MERRILL, TIMOTHY"/>
  </r>
  <r>
    <x v="6"/>
    <s v="LIFT VAN"/>
    <n v="9"/>
    <s v="904"/>
    <n v="0.5"/>
    <n v="8.07"/>
    <n v="7.57"/>
    <n v="79.3"/>
    <x v="3"/>
    <x v="0"/>
    <n v="193.5"/>
    <n v="2.8"/>
    <s v="MERRILL, TIMOTHY"/>
  </r>
  <r>
    <x v="7"/>
    <s v="LIFT VAN"/>
    <n v="14"/>
    <s v="904"/>
    <n v="0.5"/>
    <n v="11.27"/>
    <n v="10.77"/>
    <n v="164.6"/>
    <x v="3"/>
    <x v="0"/>
    <n v="301"/>
    <n v="5.6"/>
    <s v="MERRILL, TIMOTHY"/>
  </r>
  <r>
    <x v="8"/>
    <s v="LIFT VAN"/>
    <n v="13"/>
    <s v="904"/>
    <n v="0.5"/>
    <n v="10.62"/>
    <n v="10.119999999999999"/>
    <n v="113.8"/>
    <x v="3"/>
    <x v="0"/>
    <n v="279.5"/>
    <n v="0"/>
    <s v="MERRILL, TIMOTHY"/>
  </r>
  <r>
    <x v="9"/>
    <s v="LIFT VAN"/>
    <n v="16"/>
    <s v="904"/>
    <n v="0.5"/>
    <n v="11.18"/>
    <n v="10.68"/>
    <n v="145.4"/>
    <x v="3"/>
    <x v="0"/>
    <n v="344"/>
    <n v="2.8"/>
    <s v="MERRILL, TIMOTHY"/>
  </r>
  <r>
    <x v="0"/>
    <s v="LIFT VAN"/>
    <n v="18"/>
    <s v="905"/>
    <n v="0.5"/>
    <n v="10.9"/>
    <n v="10.4"/>
    <n v="116.9"/>
    <x v="4"/>
    <x v="0"/>
    <n v="387"/>
    <n v="0"/>
    <s v="HIZA TORRICO, ALEJANDRO"/>
  </r>
  <r>
    <x v="1"/>
    <s v="LIFT VAN"/>
    <n v="15"/>
    <s v="905"/>
    <n v="0.5"/>
    <n v="10.8"/>
    <n v="10.3"/>
    <n v="126.4"/>
    <x v="4"/>
    <x v="0"/>
    <n v="322.5"/>
    <n v="0"/>
    <s v="HIZA TORRICO, ALEJANDRO"/>
  </r>
  <r>
    <x v="2"/>
    <s v="LIFT VAN"/>
    <n v="13"/>
    <s v="905"/>
    <n v="0.5"/>
    <n v="10.42"/>
    <n v="9.92"/>
    <n v="134.4"/>
    <x v="4"/>
    <x v="0"/>
    <n v="279.5"/>
    <n v="0"/>
    <s v="HIZA TORRICO, ALEJANDRO"/>
  </r>
  <r>
    <x v="3"/>
    <s v="LIFT VAN"/>
    <n v="13"/>
    <s v="905"/>
    <n v="0.5"/>
    <n v="10.62"/>
    <n v="10.119999999999999"/>
    <n v="166.7"/>
    <x v="4"/>
    <x v="0"/>
    <n v="279.5"/>
    <n v="0"/>
    <s v="HIZA TORRICO, ALEJANDRO"/>
  </r>
  <r>
    <x v="4"/>
    <s v="LIFT VAN"/>
    <n v="13"/>
    <s v="905"/>
    <n v="0.5"/>
    <n v="11.37"/>
    <n v="10.87"/>
    <n v="117"/>
    <x v="4"/>
    <x v="0"/>
    <n v="279.5"/>
    <n v="0"/>
    <s v="HIZA TORRICO, ALEJANDRO"/>
  </r>
  <r>
    <x v="10"/>
    <s v="LIFT VAN"/>
    <n v="5"/>
    <s v="905"/>
    <n v="0"/>
    <n v="4.9000000000000004"/>
    <n v="4.9000000000000004"/>
    <n v="83.2"/>
    <x v="4"/>
    <x v="0"/>
    <n v="107.5"/>
    <n v="0"/>
    <s v="HIZA TORRICO, ALEJANDRO"/>
  </r>
  <r>
    <x v="5"/>
    <s v="LIFT VAN"/>
    <n v="17"/>
    <s v="905"/>
    <n v="0.5"/>
    <n v="10.87"/>
    <n v="10.37"/>
    <n v="162.5"/>
    <x v="4"/>
    <x v="0"/>
    <n v="365.5"/>
    <n v="0"/>
    <s v="HIZA TORRICO, ALEJANDRO"/>
  </r>
  <r>
    <x v="6"/>
    <s v="LIFT VAN"/>
    <n v="14"/>
    <s v="905"/>
    <n v="0.38"/>
    <n v="10.95"/>
    <n v="10.569999999999999"/>
    <n v="127.5"/>
    <x v="4"/>
    <x v="0"/>
    <n v="301"/>
    <n v="2.8"/>
    <s v="HIZA TORRICO, ALEJANDRO"/>
  </r>
  <r>
    <x v="7"/>
    <s v="LIFT VAN"/>
    <n v="19"/>
    <s v="905"/>
    <n v="0.5"/>
    <n v="11.13"/>
    <n v="10.63"/>
    <n v="134.4"/>
    <x v="4"/>
    <x v="0"/>
    <n v="408.5"/>
    <n v="2.8"/>
    <s v="HIZA TORRICO, ALEJANDRO"/>
  </r>
  <r>
    <x v="8"/>
    <s v="LIFT VAN"/>
    <n v="17"/>
    <s v="905"/>
    <n v="0.5"/>
    <n v="11"/>
    <n v="10.5"/>
    <n v="118.8"/>
    <x v="4"/>
    <x v="0"/>
    <n v="365.5"/>
    <n v="2.8"/>
    <s v="HIZA TORRICO, ALEJANDRO"/>
  </r>
  <r>
    <x v="9"/>
    <s v="LIFT VAN"/>
    <n v="17"/>
    <s v="905"/>
    <n v="0.5"/>
    <n v="11.58"/>
    <n v="11.08"/>
    <n v="161.5"/>
    <x v="4"/>
    <x v="0"/>
    <n v="365.5"/>
    <n v="5.6"/>
    <s v="HIZA TORRICO, ALEJANDRO"/>
  </r>
  <r>
    <x v="11"/>
    <s v="LIFT VAN"/>
    <n v="8"/>
    <s v="905"/>
    <n v="0"/>
    <n v="5.4"/>
    <n v="5.4"/>
    <n v="88.2"/>
    <x v="4"/>
    <x v="0"/>
    <n v="172"/>
    <n v="0"/>
    <s v="HIZA TORRICO, ALEJANDRO"/>
  </r>
  <r>
    <x v="0"/>
    <s v="LIFT VAN"/>
    <n v="0"/>
    <s v="906"/>
    <n v="0"/>
    <n v="0"/>
    <n v="0"/>
    <n v="0"/>
    <x v="5"/>
    <x v="0"/>
    <n v="0"/>
    <n v="0"/>
    <s v="KENNEDY, PAUL"/>
  </r>
  <r>
    <x v="1"/>
    <s v="LIFT VAN"/>
    <n v="0"/>
    <s v="906"/>
    <n v="0"/>
    <n v="0"/>
    <n v="0"/>
    <n v="0"/>
    <x v="5"/>
    <x v="0"/>
    <n v="0"/>
    <n v="0"/>
    <s v="KENNEDY, PAUL"/>
  </r>
  <r>
    <x v="2"/>
    <s v="LIFT VAN"/>
    <n v="0"/>
    <s v="906"/>
    <n v="0"/>
    <n v="0"/>
    <n v="0"/>
    <n v="0"/>
    <x v="5"/>
    <x v="0"/>
    <n v="0"/>
    <n v="0"/>
    <s v="KENNEDY, PAUL"/>
  </r>
  <r>
    <x v="3"/>
    <s v="LIFT VAN"/>
    <n v="8"/>
    <s v="906"/>
    <n v="0.5"/>
    <n v="10.220000000000001"/>
    <n v="9.7200000000000006"/>
    <n v="104.8"/>
    <x v="5"/>
    <x v="0"/>
    <n v="172"/>
    <n v="2.8"/>
    <s v="KENNEDY, PAUL"/>
  </r>
  <r>
    <x v="4"/>
    <s v="LIFT VAN"/>
    <n v="7"/>
    <s v="906"/>
    <n v="0.5"/>
    <n v="11.37"/>
    <n v="10.87"/>
    <n v="71.400000000000006"/>
    <x v="5"/>
    <x v="0"/>
    <n v="150.5"/>
    <n v="0"/>
    <s v="KENNEDY, PAUL"/>
  </r>
  <r>
    <x v="5"/>
    <s v="LIFT VAN"/>
    <n v="13"/>
    <s v="906"/>
    <n v="0.18"/>
    <n v="11.03"/>
    <n v="10.85"/>
    <n v="108.3"/>
    <x v="5"/>
    <x v="0"/>
    <n v="279.5"/>
    <n v="2.8"/>
    <s v="KENNEDY, PAUL"/>
  </r>
  <r>
    <x v="6"/>
    <s v="LIFT VAN"/>
    <n v="11"/>
    <s v="906"/>
    <n v="0.5"/>
    <n v="11.45"/>
    <n v="10.95"/>
    <n v="96.2"/>
    <x v="5"/>
    <x v="0"/>
    <n v="236.5"/>
    <n v="5.6"/>
    <s v="KENNEDY, PAUL"/>
  </r>
  <r>
    <x v="7"/>
    <s v="LIFT VAN"/>
    <n v="15"/>
    <s v="906"/>
    <n v="0.5"/>
    <n v="10.7"/>
    <n v="10.199999999999999"/>
    <n v="88"/>
    <x v="5"/>
    <x v="0"/>
    <n v="322.5"/>
    <n v="5.6"/>
    <s v="KENNEDY, PAUL"/>
  </r>
  <r>
    <x v="8"/>
    <s v="LIFT VAN"/>
    <n v="11"/>
    <s v="906"/>
    <n v="0.5"/>
    <n v="11.15"/>
    <n v="10.65"/>
    <n v="101.6"/>
    <x v="5"/>
    <x v="0"/>
    <n v="236.5"/>
    <n v="2.8"/>
    <s v="KENNEDY, PAUL"/>
  </r>
  <r>
    <x v="9"/>
    <s v="LIFT VAN"/>
    <n v="12"/>
    <s v="906"/>
    <n v="0.5"/>
    <n v="10.58"/>
    <n v="10.08"/>
    <n v="112.3"/>
    <x v="5"/>
    <x v="0"/>
    <n v="258"/>
    <n v="5.6"/>
    <s v="KENNEDY, PAUL"/>
  </r>
  <r>
    <x v="0"/>
    <s v="LIFT VAN"/>
    <n v="0"/>
    <s v="908"/>
    <n v="0"/>
    <n v="0"/>
    <n v="0"/>
    <n v="0"/>
    <x v="6"/>
    <x v="0"/>
    <n v="0"/>
    <n v="0"/>
    <s v="KIRUMIRA, MPAGI"/>
  </r>
  <r>
    <x v="1"/>
    <s v="LIFT VAN"/>
    <n v="10"/>
    <s v="908"/>
    <n v="0.5"/>
    <n v="9"/>
    <n v="8.5"/>
    <n v="113.4"/>
    <x v="6"/>
    <x v="0"/>
    <n v="215"/>
    <n v="0"/>
    <s v="KIRUMIRA, MPAGI"/>
  </r>
  <r>
    <x v="2"/>
    <s v="LIFT VAN"/>
    <n v="11"/>
    <s v="908"/>
    <n v="0.5"/>
    <n v="11.77"/>
    <n v="11.27"/>
    <n v="98.2"/>
    <x v="6"/>
    <x v="0"/>
    <n v="236.5"/>
    <n v="0"/>
    <s v="KIRUMIRA, MPAGI"/>
  </r>
  <r>
    <x v="3"/>
    <s v="LIFT VAN"/>
    <n v="17"/>
    <s v="908"/>
    <n v="0.5"/>
    <n v="11.28"/>
    <n v="10.78"/>
    <n v="166.2"/>
    <x v="6"/>
    <x v="0"/>
    <n v="365.5"/>
    <n v="2.8"/>
    <s v="KIRUMIRA, MPAGI"/>
  </r>
  <r>
    <x v="4"/>
    <s v="LIFT VAN"/>
    <n v="11"/>
    <s v="908"/>
    <n v="0.5"/>
    <n v="10.82"/>
    <n v="10.32"/>
    <n v="131.19999999999999"/>
    <x v="6"/>
    <x v="0"/>
    <n v="236.5"/>
    <n v="0"/>
    <s v="KIRUMIRA, MPAGI"/>
  </r>
  <r>
    <x v="10"/>
    <s v="LIFT VAN"/>
    <n v="10"/>
    <s v="908"/>
    <n v="0.35"/>
    <n v="10.8"/>
    <n v="10.450000000000001"/>
    <n v="118"/>
    <x v="6"/>
    <x v="0"/>
    <n v="215"/>
    <n v="0"/>
    <s v="KIRUMIRA, MPAGI"/>
  </r>
  <r>
    <x v="5"/>
    <s v="LIFT VAN"/>
    <n v="17"/>
    <s v="908"/>
    <n v="0.5"/>
    <n v="10.87"/>
    <n v="10.37"/>
    <n v="131.30000000000001"/>
    <x v="6"/>
    <x v="0"/>
    <n v="365.5"/>
    <n v="5.6"/>
    <s v="KIRUMIRA, MPAGI"/>
  </r>
  <r>
    <x v="6"/>
    <s v="LIFT VAN"/>
    <n v="17"/>
    <s v="908"/>
    <n v="0.5"/>
    <n v="12.23"/>
    <n v="11.73"/>
    <n v="130.1"/>
    <x v="6"/>
    <x v="0"/>
    <n v="365.5"/>
    <n v="11.2"/>
    <s v="KIRUMIRA, MPAGI"/>
  </r>
  <r>
    <x v="7"/>
    <s v="LIFT VAN"/>
    <n v="14"/>
    <s v="908"/>
    <n v="0.5"/>
    <n v="12.15"/>
    <n v="11.65"/>
    <n v="116.4"/>
    <x v="6"/>
    <x v="0"/>
    <n v="301"/>
    <n v="2.8"/>
    <s v="KIRUMIRA, MPAGI"/>
  </r>
  <r>
    <x v="8"/>
    <s v="LIFT VAN"/>
    <n v="8"/>
    <s v="908"/>
    <n v="0"/>
    <n v="5.8"/>
    <n v="5.8"/>
    <n v="85.8"/>
    <x v="6"/>
    <x v="0"/>
    <n v="172"/>
    <n v="8.4"/>
    <s v="KIRUMIRA, MPAGI"/>
  </r>
  <r>
    <x v="9"/>
    <s v="LIFT VAN"/>
    <n v="0"/>
    <s v="908"/>
    <n v="0"/>
    <n v="0"/>
    <n v="0"/>
    <n v="0"/>
    <x v="6"/>
    <x v="0"/>
    <n v="0"/>
    <n v="0"/>
    <s v="KIRUMIRA, MPAGI"/>
  </r>
  <r>
    <x v="12"/>
    <s v="LIFT VAN"/>
    <n v="11"/>
    <s v="908"/>
    <n v="0.5"/>
    <n v="9.75"/>
    <n v="9.25"/>
    <n v="127.2"/>
    <x v="6"/>
    <x v="0"/>
    <n v="236.5"/>
    <n v="2.8"/>
    <s v="KIRUMIRA, MPAGI"/>
  </r>
  <r>
    <x v="11"/>
    <s v="LIFT VAN"/>
    <n v="11"/>
    <s v="908"/>
    <n v="0.5"/>
    <n v="10.62"/>
    <n v="10.119999999999999"/>
    <n v="105.9"/>
    <x v="6"/>
    <x v="0"/>
    <n v="236.5"/>
    <n v="0"/>
    <s v="KIRUMIRA, MPAGI"/>
  </r>
  <r>
    <x v="0"/>
    <s v="LIFT VAN"/>
    <n v="9"/>
    <s v="910"/>
    <n v="0.5"/>
    <n v="10.67"/>
    <n v="10.17"/>
    <n v="115.7"/>
    <x v="7"/>
    <x v="0"/>
    <n v="193.5"/>
    <n v="2.8"/>
    <s v="OSMANOVIC, EDIS"/>
  </r>
  <r>
    <x v="1"/>
    <s v="LIFT VAN"/>
    <n v="14"/>
    <s v="910"/>
    <n v="0.5"/>
    <n v="10.85"/>
    <n v="10.35"/>
    <n v="106"/>
    <x v="7"/>
    <x v="0"/>
    <n v="301"/>
    <n v="5.6"/>
    <s v="OSMANOVIC, EDIS"/>
  </r>
  <r>
    <x v="2"/>
    <s v="LIFT VAN"/>
    <n v="13"/>
    <s v="910"/>
    <n v="0.5"/>
    <n v="10.52"/>
    <n v="10.02"/>
    <n v="118.7"/>
    <x v="7"/>
    <x v="0"/>
    <n v="279.5"/>
    <n v="0"/>
    <s v="OSMANOVIC, EDIS"/>
  </r>
  <r>
    <x v="3"/>
    <s v="LIFT VAN"/>
    <n v="11"/>
    <s v="910"/>
    <n v="0.5"/>
    <n v="10.25"/>
    <n v="9.75"/>
    <n v="129.6"/>
    <x v="7"/>
    <x v="0"/>
    <n v="236.5"/>
    <n v="0"/>
    <s v="OSMANOVIC, EDIS"/>
  </r>
  <r>
    <x v="4"/>
    <s v="LIFT VAN"/>
    <n v="13"/>
    <s v="910"/>
    <n v="0.5"/>
    <n v="11"/>
    <n v="10.5"/>
    <n v="134"/>
    <x v="7"/>
    <x v="0"/>
    <n v="279.5"/>
    <n v="2.8"/>
    <s v="OSMANOVIC, EDIS"/>
  </r>
  <r>
    <x v="5"/>
    <s v="LIFT VAN"/>
    <n v="14"/>
    <s v="910"/>
    <n v="0.5"/>
    <n v="10.5"/>
    <n v="10"/>
    <n v="96.7"/>
    <x v="7"/>
    <x v="0"/>
    <n v="301"/>
    <n v="8.4"/>
    <s v="OSMANOVIC, EDIS"/>
  </r>
  <r>
    <x v="6"/>
    <s v="LIFT VAN"/>
    <n v="15"/>
    <s v="910"/>
    <n v="0.5"/>
    <n v="10.33"/>
    <n v="9.83"/>
    <n v="96"/>
    <x v="7"/>
    <x v="0"/>
    <n v="322.5"/>
    <n v="2.8"/>
    <s v="OSMANOVIC, EDIS"/>
  </r>
  <r>
    <x v="7"/>
    <s v="LIFT VAN"/>
    <n v="13"/>
    <s v="910"/>
    <n v="0.5"/>
    <n v="10.68"/>
    <n v="10.18"/>
    <n v="113.1"/>
    <x v="7"/>
    <x v="0"/>
    <n v="279.5"/>
    <n v="5.6"/>
    <s v="OSMANOVIC, EDIS"/>
  </r>
  <r>
    <x v="8"/>
    <s v="LIFT VAN"/>
    <n v="13"/>
    <s v="910"/>
    <n v="0.5"/>
    <n v="9.9700000000000006"/>
    <n v="9.4700000000000006"/>
    <n v="103.1"/>
    <x v="7"/>
    <x v="0"/>
    <n v="279.5"/>
    <n v="5.6"/>
    <s v="OSMANOVIC, EDIS"/>
  </r>
  <r>
    <x v="9"/>
    <s v="LIFT VAN"/>
    <n v="13"/>
    <s v="910"/>
    <n v="0.5"/>
    <n v="9.92"/>
    <n v="9.42"/>
    <n v="112"/>
    <x v="7"/>
    <x v="0"/>
    <n v="279.5"/>
    <n v="5.6"/>
    <s v="OSMANOVIC, EDIS"/>
  </r>
  <r>
    <x v="0"/>
    <s v="LIFT VAN"/>
    <n v="14"/>
    <s v="911"/>
    <n v="0.5"/>
    <n v="10.8"/>
    <n v="10.3"/>
    <n v="99.6"/>
    <x v="8"/>
    <x v="0"/>
    <n v="301"/>
    <n v="0"/>
    <s v="MUGENZI, INNOCENT"/>
  </r>
  <r>
    <x v="1"/>
    <s v="LIFT VAN"/>
    <n v="18"/>
    <s v="911"/>
    <n v="0.5"/>
    <n v="9.98"/>
    <n v="9.48"/>
    <n v="127.5"/>
    <x v="8"/>
    <x v="0"/>
    <n v="387"/>
    <n v="8.4"/>
    <s v="MUGENZI, INNOCENT"/>
  </r>
  <r>
    <x v="2"/>
    <s v="LIFT VAN"/>
    <n v="12"/>
    <s v="911"/>
    <n v="0.5"/>
    <n v="9.9499999999999993"/>
    <n v="9.4499999999999993"/>
    <n v="102"/>
    <x v="8"/>
    <x v="0"/>
    <n v="258"/>
    <n v="11.2"/>
    <s v="MUGENZI, INNOCENT"/>
  </r>
  <r>
    <x v="3"/>
    <s v="LIFT VAN"/>
    <n v="10"/>
    <s v="911"/>
    <n v="0.5"/>
    <n v="9.98"/>
    <n v="9.48"/>
    <n v="128"/>
    <x v="8"/>
    <x v="0"/>
    <n v="215"/>
    <n v="0"/>
    <s v="MUGENZI, INNOCENT"/>
  </r>
  <r>
    <x v="4"/>
    <s v="LIFT VAN"/>
    <n v="16"/>
    <s v="911"/>
    <n v="0.5"/>
    <n v="10.52"/>
    <n v="10.02"/>
    <n v="113"/>
    <x v="8"/>
    <x v="0"/>
    <n v="344"/>
    <n v="2.8"/>
    <s v="MUGENZI, INNOCENT"/>
  </r>
  <r>
    <x v="5"/>
    <s v="LIFT VAN"/>
    <n v="13"/>
    <s v="911"/>
    <n v="0.5"/>
    <n v="10.45"/>
    <n v="9.9499999999999993"/>
    <n v="109.4"/>
    <x v="8"/>
    <x v="0"/>
    <n v="279.5"/>
    <n v="0"/>
    <s v="MUGENZI, INNOCENT"/>
  </r>
  <r>
    <x v="6"/>
    <s v="LIFT VAN"/>
    <n v="15"/>
    <s v="911"/>
    <n v="0.5"/>
    <n v="10.02"/>
    <n v="9.52"/>
    <n v="117.9"/>
    <x v="8"/>
    <x v="0"/>
    <n v="322.5"/>
    <n v="5.6"/>
    <s v="MUGENZI, INNOCENT"/>
  </r>
  <r>
    <x v="7"/>
    <s v="LIFT VAN"/>
    <n v="9"/>
    <s v="911"/>
    <n v="0.5"/>
    <n v="9.8000000000000007"/>
    <n v="9.3000000000000007"/>
    <n v="109.6"/>
    <x v="8"/>
    <x v="0"/>
    <n v="193.5"/>
    <n v="0"/>
    <s v="MUGENZI, INNOCENT"/>
  </r>
  <r>
    <x v="8"/>
    <s v="LIFT VAN"/>
    <n v="11"/>
    <s v="911"/>
    <n v="0.5"/>
    <n v="10.97"/>
    <n v="10.47"/>
    <n v="110.1"/>
    <x v="8"/>
    <x v="0"/>
    <n v="236.5"/>
    <n v="2.8"/>
    <s v="MUGENZI, INNOCENT"/>
  </r>
  <r>
    <x v="9"/>
    <s v="LIFT VAN"/>
    <n v="14"/>
    <s v="911"/>
    <n v="0.5"/>
    <n v="10.82"/>
    <n v="10.32"/>
    <n v="131.5"/>
    <x v="8"/>
    <x v="0"/>
    <n v="301"/>
    <n v="0"/>
    <s v="MUGENZI, INNOCENT"/>
  </r>
  <r>
    <x v="0"/>
    <s v="LIFT VAN"/>
    <n v="12"/>
    <s v="913"/>
    <n v="0.5"/>
    <n v="10"/>
    <n v="9.5"/>
    <n v="123.3"/>
    <x v="9"/>
    <x v="0"/>
    <n v="258"/>
    <n v="0"/>
    <s v="ROBY, ARVIN"/>
  </r>
  <r>
    <x v="1"/>
    <s v="LIFT VAN"/>
    <n v="12"/>
    <s v="913"/>
    <n v="0.5"/>
    <n v="10.9"/>
    <n v="10.4"/>
    <n v="123.8"/>
    <x v="9"/>
    <x v="0"/>
    <n v="258"/>
    <n v="2.8"/>
    <s v="ROBY, ARVIN"/>
  </r>
  <r>
    <x v="2"/>
    <s v="LIFT VAN"/>
    <n v="11"/>
    <s v="913"/>
    <n v="0.5"/>
    <n v="10.029999999999999"/>
    <n v="9.5299999999999994"/>
    <n v="121.7"/>
    <x v="9"/>
    <x v="0"/>
    <n v="236.5"/>
    <n v="0"/>
    <s v="ROBY, ARVIN"/>
  </r>
  <r>
    <x v="3"/>
    <s v="LIFT VAN"/>
    <n v="16"/>
    <s v="913"/>
    <n v="0.5"/>
    <n v="10.95"/>
    <n v="10.45"/>
    <n v="130.4"/>
    <x v="9"/>
    <x v="0"/>
    <n v="344"/>
    <n v="8.4"/>
    <s v="ROBY, ARVIN"/>
  </r>
  <r>
    <x v="4"/>
    <s v="LIFT VAN"/>
    <n v="10"/>
    <s v="913"/>
    <n v="0.5"/>
    <n v="10.62"/>
    <n v="10.119999999999999"/>
    <n v="128.6"/>
    <x v="9"/>
    <x v="0"/>
    <n v="215"/>
    <n v="5.6"/>
    <s v="ROBY, ARVIN"/>
  </r>
  <r>
    <x v="5"/>
    <s v="LIFT VAN"/>
    <n v="16"/>
    <s v="913"/>
    <n v="0.5"/>
    <n v="10.7"/>
    <n v="10.199999999999999"/>
    <n v="128.1"/>
    <x v="9"/>
    <x v="0"/>
    <n v="344"/>
    <n v="2.8"/>
    <s v="ROBY, ARVIN"/>
  </r>
  <r>
    <x v="6"/>
    <s v="LIFT VAN"/>
    <n v="9"/>
    <s v="913"/>
    <n v="0.5"/>
    <n v="10.32"/>
    <n v="9.82"/>
    <n v="92.8"/>
    <x v="9"/>
    <x v="0"/>
    <n v="193.5"/>
    <n v="2.8"/>
    <s v="ROBY, ARVIN"/>
  </r>
  <r>
    <x v="7"/>
    <s v="LIFT VAN"/>
    <n v="15"/>
    <s v="913"/>
    <n v="0.5"/>
    <n v="10.75"/>
    <n v="10.25"/>
    <n v="128"/>
    <x v="9"/>
    <x v="0"/>
    <n v="322.5"/>
    <n v="0"/>
    <s v="ROBY, ARVIN"/>
  </r>
  <r>
    <x v="8"/>
    <s v="LIFT VAN"/>
    <n v="12"/>
    <s v="913"/>
    <n v="0.5"/>
    <n v="10.77"/>
    <n v="10.27"/>
    <n v="145"/>
    <x v="9"/>
    <x v="0"/>
    <n v="258"/>
    <n v="5.6"/>
    <s v="ROBY, ARVIN"/>
  </r>
  <r>
    <x v="9"/>
    <s v="LIFT VAN"/>
    <n v="10"/>
    <s v="913"/>
    <n v="0.5"/>
    <n v="10.029999999999999"/>
    <n v="9.5299999999999994"/>
    <n v="121.5"/>
    <x v="9"/>
    <x v="0"/>
    <n v="215"/>
    <n v="5.6"/>
    <s v="ROBY, ARVIN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">
  <r>
    <x v="0"/>
    <s v="901"/>
    <s v="Cash"/>
    <x v="0"/>
    <n v="5.6"/>
    <x v="0"/>
  </r>
  <r>
    <x v="1"/>
    <s v="901"/>
    <s v="Cash"/>
    <x v="0"/>
    <n v="2.8"/>
    <x v="0"/>
  </r>
  <r>
    <x v="2"/>
    <s v="901"/>
    <s v="Cash"/>
    <x v="0"/>
    <n v="2.8"/>
    <x v="0"/>
  </r>
  <r>
    <x v="3"/>
    <s v="901"/>
    <s v="Cash"/>
    <x v="0"/>
    <n v="14"/>
    <x v="0"/>
  </r>
  <r>
    <x v="3"/>
    <s v="906"/>
    <s v="Cash"/>
    <x v="1"/>
    <n v="2.8"/>
    <x v="1"/>
  </r>
  <r>
    <x v="0"/>
    <s v="910"/>
    <s v="Cash"/>
    <x v="2"/>
    <n v="2.8"/>
    <x v="2"/>
  </r>
  <r>
    <x v="1"/>
    <s v="910"/>
    <s v="Cash"/>
    <x v="2"/>
    <n v="5.6"/>
    <x v="2"/>
  </r>
  <r>
    <x v="4"/>
    <s v="910"/>
    <s v="Cash"/>
    <x v="2"/>
    <n v="2.8"/>
    <x v="2"/>
  </r>
  <r>
    <x v="0"/>
    <s v="902"/>
    <s v="Cash"/>
    <x v="3"/>
    <n v="2.8"/>
    <x v="3"/>
  </r>
  <r>
    <x v="2"/>
    <s v="902"/>
    <s v="Cash"/>
    <x v="3"/>
    <n v="2.8"/>
    <x v="3"/>
  </r>
  <r>
    <x v="1"/>
    <s v="911"/>
    <s v="Cash"/>
    <x v="4"/>
    <n v="8.3999999999999986"/>
    <x v="4"/>
  </r>
  <r>
    <x v="2"/>
    <s v="911"/>
    <s v="Cash"/>
    <x v="4"/>
    <n v="11.2"/>
    <x v="4"/>
  </r>
  <r>
    <x v="1"/>
    <s v="913"/>
    <s v="Cash"/>
    <x v="5"/>
    <n v="2.8"/>
    <x v="5"/>
  </r>
  <r>
    <x v="3"/>
    <s v="913"/>
    <s v="Cash"/>
    <x v="5"/>
    <n v="8.3999999999999986"/>
    <x v="5"/>
  </r>
  <r>
    <x v="2"/>
    <s v="904"/>
    <s v="Cash"/>
    <x v="6"/>
    <n v="5.6"/>
    <x v="6"/>
  </r>
  <r>
    <x v="3"/>
    <s v="904"/>
    <s v="Cash"/>
    <x v="6"/>
    <n v="8.3999999999999986"/>
    <x v="6"/>
  </r>
  <r>
    <x v="3"/>
    <s v="908"/>
    <s v="Cash"/>
    <x v="7"/>
    <n v="2.8"/>
    <x v="7"/>
  </r>
  <r>
    <x v="2"/>
    <s v="903"/>
    <s v="Cash"/>
    <x v="8"/>
    <n v="8.3999999999999986"/>
    <x v="8"/>
  </r>
  <r>
    <x v="4"/>
    <s v="901"/>
    <s v="Cash"/>
    <x v="0"/>
    <n v="2.8"/>
    <x v="0"/>
  </r>
  <r>
    <x v="4"/>
    <s v="903"/>
    <s v="Cash"/>
    <x v="8"/>
    <n v="5.6"/>
    <x v="8"/>
  </r>
  <r>
    <x v="4"/>
    <s v="904"/>
    <s v="Cash"/>
    <x v="6"/>
    <n v="8.3999999999999986"/>
    <x v="6"/>
  </r>
  <r>
    <x v="4"/>
    <s v="913"/>
    <s v="Cash"/>
    <x v="5"/>
    <n v="5.6"/>
    <x v="5"/>
  </r>
  <r>
    <x v="4"/>
    <s v="911"/>
    <s v="Cash"/>
    <x v="4"/>
    <n v="2.8"/>
    <x v="4"/>
  </r>
  <r>
    <x v="5"/>
    <s v="910"/>
    <s v="Cash"/>
    <x v="2"/>
    <n v="8.3999999999999986"/>
    <x v="2"/>
  </r>
  <r>
    <x v="5"/>
    <s v="901"/>
    <s v="Cash"/>
    <x v="0"/>
    <n v="2.8"/>
    <x v="0"/>
  </r>
  <r>
    <x v="5"/>
    <s v="906"/>
    <s v="Cash"/>
    <x v="1"/>
    <n v="2.8"/>
    <x v="1"/>
  </r>
  <r>
    <x v="5"/>
    <s v="913"/>
    <s v="Cash"/>
    <x v="5"/>
    <n v="2.8"/>
    <x v="5"/>
  </r>
  <r>
    <x v="5"/>
    <s v="908"/>
    <s v="Cash"/>
    <x v="7"/>
    <n v="5.6"/>
    <x v="7"/>
  </r>
  <r>
    <x v="5"/>
    <s v="904"/>
    <s v="Cash"/>
    <x v="6"/>
    <n v="5.6"/>
    <x v="6"/>
  </r>
  <r>
    <x v="6"/>
    <s v="901"/>
    <s v="Cash"/>
    <x v="0"/>
    <n v="5.6"/>
    <x v="0"/>
  </r>
  <r>
    <x v="6"/>
    <s v="910"/>
    <s v="Cash"/>
    <x v="2"/>
    <n v="2.8"/>
    <x v="2"/>
  </r>
  <r>
    <x v="6"/>
    <s v="905"/>
    <s v="Cash"/>
    <x v="9"/>
    <n v="2.8"/>
    <x v="9"/>
  </r>
  <r>
    <x v="6"/>
    <s v="904"/>
    <s v="Cash"/>
    <x v="6"/>
    <n v="2.8"/>
    <x v="6"/>
  </r>
  <r>
    <x v="6"/>
    <s v="906"/>
    <s v="Cash"/>
    <x v="1"/>
    <n v="5.6"/>
    <x v="1"/>
  </r>
  <r>
    <x v="6"/>
    <s v="908"/>
    <s v="Cash"/>
    <x v="7"/>
    <n v="11.2"/>
    <x v="7"/>
  </r>
  <r>
    <x v="6"/>
    <s v="911"/>
    <s v="Cash"/>
    <x v="4"/>
    <n v="5.6"/>
    <x v="4"/>
  </r>
  <r>
    <x v="6"/>
    <s v="913"/>
    <s v="Cash"/>
    <x v="5"/>
    <n v="2.8"/>
    <x v="5"/>
  </r>
  <r>
    <x v="6"/>
    <s v="902"/>
    <s v="Cash"/>
    <x v="3"/>
    <n v="2.8"/>
    <x v="3"/>
  </r>
  <r>
    <x v="7"/>
    <s v="910"/>
    <s v="Cash"/>
    <x v="2"/>
    <n v="5.6"/>
    <x v="2"/>
  </r>
  <r>
    <x v="7"/>
    <s v="901"/>
    <s v="Cash"/>
    <x v="0"/>
    <n v="2.8"/>
    <x v="0"/>
  </r>
  <r>
    <x v="7"/>
    <s v="904"/>
    <s v="Cash"/>
    <x v="6"/>
    <n v="5.6"/>
    <x v="6"/>
  </r>
  <r>
    <x v="7"/>
    <s v="903"/>
    <s v="Cash"/>
    <x v="8"/>
    <n v="5.6"/>
    <x v="8"/>
  </r>
  <r>
    <x v="7"/>
    <s v="905"/>
    <s v="Cash"/>
    <x v="9"/>
    <n v="2.8"/>
    <x v="9"/>
  </r>
  <r>
    <x v="7"/>
    <s v="908"/>
    <s v="Cash"/>
    <x v="7"/>
    <n v="2.8"/>
    <x v="7"/>
  </r>
  <r>
    <x v="7"/>
    <s v="906"/>
    <s v="Cash"/>
    <x v="1"/>
    <n v="5.6"/>
    <x v="1"/>
  </r>
  <r>
    <x v="7"/>
    <s v="902"/>
    <s v="Cash"/>
    <x v="3"/>
    <n v="2.8"/>
    <x v="3"/>
  </r>
  <r>
    <x v="8"/>
    <s v="901"/>
    <s v="Cash"/>
    <x v="0"/>
    <n v="2.8"/>
    <x v="0"/>
  </r>
  <r>
    <x v="8"/>
    <s v="910"/>
    <s v="Cash"/>
    <x v="2"/>
    <n v="5.6"/>
    <x v="2"/>
  </r>
  <r>
    <x v="8"/>
    <s v="906"/>
    <s v="Cash"/>
    <x v="1"/>
    <n v="2.8"/>
    <x v="1"/>
  </r>
  <r>
    <x v="8"/>
    <s v="911"/>
    <s v="Cash"/>
    <x v="4"/>
    <n v="2.8"/>
    <x v="4"/>
  </r>
  <r>
    <x v="8"/>
    <s v="908"/>
    <s v="Cash"/>
    <x v="7"/>
    <n v="8.3999999999999986"/>
    <x v="7"/>
  </r>
  <r>
    <x v="8"/>
    <s v="913"/>
    <s v="Cash"/>
    <x v="5"/>
    <n v="5.6"/>
    <x v="5"/>
  </r>
  <r>
    <x v="8"/>
    <s v="905"/>
    <s v="Cash"/>
    <x v="9"/>
    <n v="2.8"/>
    <x v="9"/>
  </r>
  <r>
    <x v="9"/>
    <s v="910"/>
    <s v="Cash"/>
    <x v="2"/>
    <n v="5.6"/>
    <x v="2"/>
  </r>
  <r>
    <x v="9"/>
    <s v="905"/>
    <s v="Cash"/>
    <x v="9"/>
    <n v="5.6"/>
    <x v="9"/>
  </r>
  <r>
    <x v="9"/>
    <s v="904"/>
    <s v="Cash"/>
    <x v="6"/>
    <n v="2.8"/>
    <x v="6"/>
  </r>
  <r>
    <x v="9"/>
    <s v="913"/>
    <s v="Cash"/>
    <x v="5"/>
    <n v="5.6"/>
    <x v="5"/>
  </r>
  <r>
    <x v="9"/>
    <s v="902"/>
    <s v="Cash"/>
    <x v="3"/>
    <n v="2.8"/>
    <x v="3"/>
  </r>
  <r>
    <x v="9"/>
    <s v="903"/>
    <s v="Cash"/>
    <x v="8"/>
    <n v="2.8"/>
    <x v="8"/>
  </r>
  <r>
    <x v="9"/>
    <s v="906"/>
    <s v="Cash"/>
    <x v="1"/>
    <n v="5.6"/>
    <x v="1"/>
  </r>
  <r>
    <x v="10"/>
    <s v="908"/>
    <s v="Cash"/>
    <x v="7"/>
    <n v="2.8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d v="2024-12-02T00:00:00"/>
    <x v="0"/>
    <n v="28.75"/>
    <n v="6.72"/>
    <n v="4.28"/>
    <n v="28.761600000000001"/>
    <n v="-1.1600000000001387E-2"/>
    <x v="0"/>
  </r>
  <r>
    <d v="2024-12-03T00:00:00"/>
    <x v="1"/>
    <n v="21.02"/>
    <n v="5.59"/>
    <n v="3.76"/>
    <n v="21.0184"/>
    <n v="1.5999999999998238E-3"/>
    <x v="0"/>
  </r>
  <r>
    <d v="2024-12-05T00:00:00"/>
    <x v="1"/>
    <n v="23.58"/>
    <n v="6.27"/>
    <n v="3.76"/>
    <n v="23.575199999999999"/>
    <n v="4.7999999999994714E-3"/>
    <x v="0"/>
  </r>
  <r>
    <d v="2024-12-06T00:00:00"/>
    <x v="2"/>
    <n v="39"/>
    <n v="10.1"/>
    <n v="3.86"/>
    <n v="38.985999999999997"/>
    <n v="1.4000000000002899E-2"/>
    <x v="0"/>
  </r>
  <r>
    <d v="2024-12-07T00:00:00"/>
    <x v="0"/>
    <n v="39"/>
    <n v="10.130000000000001"/>
    <n v="3.85"/>
    <n v="39.000500000000002"/>
    <n v="-5.0000000000238742E-4"/>
    <x v="0"/>
  </r>
  <r>
    <d v="2024-12-08T00:00:00"/>
    <x v="0"/>
    <n v="39"/>
    <n v="10.002000000000001"/>
    <n v="3.9"/>
    <n v="39.007800000000003"/>
    <n v="-7.8000000000031378E-3"/>
    <x v="0"/>
  </r>
  <r>
    <d v="2024-12-08T00:00:00"/>
    <x v="2"/>
    <n v="34"/>
    <n v="8.81"/>
    <n v="3.86"/>
    <n v="34.006599999999999"/>
    <n v="-6.599999999998829E-3"/>
    <x v="0"/>
  </r>
  <r>
    <d v="2024-12-09T00:00:00"/>
    <x v="0"/>
    <n v="34"/>
    <n v="8.83"/>
    <n v="3.85"/>
    <n v="33.9955"/>
    <n v="4.5000000000001705E-3"/>
    <x v="0"/>
  </r>
  <r>
    <d v="2024-12-11T00:00:00"/>
    <x v="1"/>
    <n v="23.36"/>
    <n v="6.38"/>
    <n v="3.66"/>
    <n v="23.3508"/>
    <n v="9.1999999999998749E-3"/>
    <x v="0"/>
  </r>
  <r>
    <d v="2024-12-12T00:00:00"/>
    <x v="3"/>
    <n v="29"/>
    <n v="8.0500000000000007"/>
    <n v="3.6"/>
    <n v="28.980000000000004"/>
    <n v="1.9999999999996021E-2"/>
    <x v="0"/>
  </r>
  <r>
    <d v="2024-12-12T00:00:00"/>
    <x v="1"/>
    <n v="21.01"/>
    <n v="5.74"/>
    <n v="3.66"/>
    <n v="21.008400000000002"/>
    <n v="1.5999999999998238E-3"/>
    <x v="0"/>
  </r>
  <r>
    <d v="2024-12-13T00:00:00"/>
    <x v="1"/>
    <n v="29"/>
    <n v="7.92"/>
    <n v="3.66"/>
    <n v="28.987200000000001"/>
    <n v="1.279999999999859E-2"/>
    <x v="0"/>
  </r>
  <r>
    <d v="2024-12-15T00:00:00"/>
    <x v="2"/>
    <n v="39"/>
    <n v="10.1"/>
    <n v="3.86"/>
    <n v="38.985999999999997"/>
    <n v="1.4000000000002899E-2"/>
    <x v="0"/>
  </r>
  <r>
    <d v="2024-12-15T00:00:00"/>
    <x v="0"/>
    <n v="39"/>
    <n v="9.33"/>
    <n v="4.18"/>
    <n v="38.999399999999994"/>
    <n v="6.0000000000570708E-4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n v="36"/>
    <n v="39.130000000000003"/>
    <n v="36"/>
    <n v="1"/>
    <n v="760.5"/>
    <n v="234"/>
    <n v="0"/>
    <n v="0"/>
    <n v="1"/>
    <n v="0"/>
    <n v="117"/>
    <n v="0"/>
    <n v="9.2767697418860207E-2"/>
    <n v="0"/>
    <n v="6"/>
    <n v="0"/>
    <n v="0"/>
    <n v="1117.5"/>
    <n v="36"/>
    <n v="234"/>
    <n v="36"/>
    <n v="0"/>
    <n v="0"/>
    <n v="117"/>
    <n v="0"/>
    <n v="0"/>
    <d v="2024-12-02T00:00:00"/>
    <x v="0"/>
    <n v="0"/>
    <n v="5"/>
    <n v="39.5"/>
    <n v="0.37"/>
    <n v="5"/>
    <n v="0"/>
    <n v="3.63"/>
    <n v="35.5"/>
    <n v="11.67"/>
    <n v="0.03"/>
    <n v="0.13"/>
    <n v="9"/>
    <n v="0"/>
    <n v="0"/>
    <n v="39.130000000000003"/>
    <n v="0.1"/>
    <n v="0.05"/>
    <n v="0.7"/>
    <n v="32.5"/>
    <n v="0"/>
    <n v="0.65"/>
    <n v="0.98"/>
    <n v="0.96"/>
    <n v="0.9"/>
    <n v="0.2"/>
    <n v="0.1"/>
    <n v="0.05"/>
    <n v="0.05"/>
    <n v="36"/>
    <n v="0"/>
    <n v="0"/>
    <n v="59.03"/>
  </r>
  <r>
    <x v="0"/>
    <n v="48"/>
    <n v="48.349999999999994"/>
    <n v="48"/>
    <n v="1"/>
    <n v="1014"/>
    <n v="312"/>
    <n v="0"/>
    <n v="0"/>
    <n v="1"/>
    <n v="0"/>
    <n v="156"/>
    <n v="0"/>
    <n v="0.119751809720786"/>
    <n v="0"/>
    <n v="22.42"/>
    <n v="0"/>
    <n v="0"/>
    <n v="1504.42"/>
    <n v="48"/>
    <n v="312"/>
    <n v="48"/>
    <n v="0"/>
    <n v="0"/>
    <n v="156"/>
    <n v="0"/>
    <n v="0"/>
    <d v="2024-12-02T00:00:00"/>
    <x v="1"/>
    <n v="0"/>
    <n v="9"/>
    <n v="48.55"/>
    <n v="0.2"/>
    <n v="9"/>
    <n v="0"/>
    <n v="5.79"/>
    <n v="42.56"/>
    <n v="3.45"/>
    <n v="1.1599999999999999"/>
    <n v="0.19"/>
    <n v="9"/>
    <n v="0"/>
    <n v="0"/>
    <n v="48.349999999999994"/>
    <n v="0.1"/>
    <n v="0.05"/>
    <n v="0.7"/>
    <n v="32.5"/>
    <n v="0"/>
    <n v="0.65"/>
    <n v="0.98"/>
    <n v="0.96"/>
    <n v="0.9"/>
    <n v="0.2"/>
    <n v="0.1"/>
    <n v="0.05"/>
    <n v="0.05"/>
    <n v="48"/>
    <n v="0"/>
    <n v="0"/>
    <n v="124.93"/>
  </r>
  <r>
    <x v="0"/>
    <n v="48"/>
    <n v="48.48"/>
    <n v="48"/>
    <n v="1"/>
    <n v="1014"/>
    <n v="312"/>
    <n v="0"/>
    <n v="0"/>
    <n v="1"/>
    <n v="9.0909090909090898E-2"/>
    <n v="0"/>
    <n v="0"/>
    <n v="0.12273102310231"/>
    <n v="0"/>
    <n v="12"/>
    <n v="0"/>
    <n v="0"/>
    <n v="1338"/>
    <n v="48"/>
    <n v="312"/>
    <n v="0"/>
    <n v="0"/>
    <n v="0"/>
    <n v="0"/>
    <n v="0"/>
    <n v="0"/>
    <d v="2024-12-02T00:00:00"/>
    <x v="2"/>
    <n v="0"/>
    <n v="3"/>
    <n v="48.48"/>
    <n v="0"/>
    <n v="3"/>
    <n v="0"/>
    <n v="5.95"/>
    <n v="42.53"/>
    <n v="40.74"/>
    <n v="5.95"/>
    <n v="0.06"/>
    <n v="11"/>
    <n v="0"/>
    <n v="1"/>
    <n v="0"/>
    <n v="0.1"/>
    <n v="0.05"/>
    <n v="0.7"/>
    <n v="32.5"/>
    <n v="0"/>
    <n v="0.65"/>
    <n v="0.98"/>
    <n v="0.96"/>
    <n v="0.9"/>
    <n v="0.2"/>
    <n v="0.1"/>
    <n v="0.05"/>
    <n v="0.05"/>
    <n v="48"/>
    <n v="0"/>
    <n v="48"/>
    <n v="42.22"/>
  </r>
  <r>
    <x v="0"/>
    <n v="36"/>
    <n v="38.53"/>
    <n v="36"/>
    <n v="1"/>
    <n v="760.5"/>
    <n v="234"/>
    <n v="0"/>
    <n v="0"/>
    <n v="0.94444444444444398"/>
    <n v="0"/>
    <n v="0"/>
    <n v="58.5"/>
    <n v="0.30080456786919302"/>
    <n v="0"/>
    <n v="28"/>
    <n v="0"/>
    <n v="0"/>
    <n v="1081"/>
    <n v="36"/>
    <n v="234"/>
    <n v="0"/>
    <n v="36"/>
    <n v="0"/>
    <n v="58.5"/>
    <n v="0"/>
    <n v="0"/>
    <d v="2024-12-02T00:00:00"/>
    <x v="3"/>
    <n v="0"/>
    <n v="15"/>
    <n v="39.72"/>
    <n v="1.19"/>
    <n v="15"/>
    <n v="0"/>
    <n v="11.59"/>
    <n v="26.93"/>
    <n v="2.39"/>
    <n v="0.77"/>
    <n v="0.38"/>
    <n v="17"/>
    <n v="1"/>
    <n v="0"/>
    <n v="0"/>
    <n v="0.1"/>
    <n v="0.05"/>
    <n v="0.7"/>
    <n v="32.5"/>
    <n v="0"/>
    <n v="0.65"/>
    <n v="0.98"/>
    <n v="0.96"/>
    <n v="0.9"/>
    <n v="0.2"/>
    <n v="0.1"/>
    <n v="0.05"/>
    <n v="0.05"/>
    <n v="36"/>
    <n v="0"/>
    <n v="0"/>
    <n v="302.58999999999997"/>
  </r>
  <r>
    <x v="1"/>
    <n v="36"/>
    <n v="39"/>
    <n v="36"/>
    <n v="1"/>
    <n v="760.5"/>
    <n v="234"/>
    <n v="0"/>
    <n v="0"/>
    <n v="1"/>
    <n v="0"/>
    <n v="117"/>
    <n v="0"/>
    <n v="0.12538461538461501"/>
    <n v="0"/>
    <n v="8"/>
    <n v="0"/>
    <n v="0"/>
    <n v="1119.5"/>
    <n v="36"/>
    <n v="234"/>
    <n v="36"/>
    <n v="0"/>
    <n v="0"/>
    <n v="117"/>
    <n v="0"/>
    <n v="0"/>
    <d v="2024-12-09T00:00:00"/>
    <x v="0"/>
    <n v="0"/>
    <n v="7"/>
    <n v="39.36"/>
    <n v="0.36"/>
    <n v="7"/>
    <n v="0"/>
    <n v="4.8899999999999997"/>
    <n v="34.11"/>
    <n v="11.7"/>
    <n v="1.44"/>
    <n v="0.18"/>
    <n v="11"/>
    <n v="0"/>
    <n v="0"/>
    <n v="39"/>
    <n v="0.1"/>
    <n v="0.05"/>
    <n v="0.7"/>
    <n v="32.5"/>
    <n v="0"/>
    <n v="0.65"/>
    <n v="0.98"/>
    <n v="0.96"/>
    <n v="0.9"/>
    <n v="0.2"/>
    <n v="0.1"/>
    <n v="0.05"/>
    <n v="0.05"/>
    <n v="36"/>
    <n v="0"/>
    <n v="0"/>
    <n v="94.95"/>
  </r>
  <r>
    <x v="1"/>
    <n v="48"/>
    <n v="49.019999999999996"/>
    <n v="48"/>
    <n v="1"/>
    <n v="1014"/>
    <n v="312"/>
    <n v="0"/>
    <n v="0"/>
    <n v="1"/>
    <n v="0"/>
    <n v="156"/>
    <n v="0"/>
    <n v="0.15830273357813099"/>
    <n v="0"/>
    <n v="17"/>
    <n v="0"/>
    <n v="0"/>
    <n v="1499"/>
    <n v="48"/>
    <n v="312"/>
    <n v="48"/>
    <n v="0"/>
    <n v="0"/>
    <n v="156"/>
    <n v="0"/>
    <n v="0"/>
    <d v="2024-12-09T00:00:00"/>
    <x v="1"/>
    <n v="0"/>
    <n v="11"/>
    <n v="49.23"/>
    <n v="0.21"/>
    <n v="11"/>
    <n v="0"/>
    <n v="7.76"/>
    <n v="41.26"/>
    <n v="3.42"/>
    <n v="0"/>
    <n v="0.22"/>
    <n v="11"/>
    <n v="0"/>
    <n v="0"/>
    <n v="49.019999999999996"/>
    <n v="0.1"/>
    <n v="0.05"/>
    <n v="0.7"/>
    <n v="32.5"/>
    <n v="0"/>
    <n v="0.65"/>
    <n v="0.98"/>
    <n v="0.96"/>
    <n v="0.9"/>
    <n v="0.2"/>
    <n v="0.1"/>
    <n v="0.05"/>
    <n v="0.05"/>
    <n v="48"/>
    <n v="0"/>
    <n v="0"/>
    <n v="153.63999999999999"/>
  </r>
  <r>
    <x v="1"/>
    <n v="36"/>
    <n v="37.31"/>
    <n v="36"/>
    <n v="1"/>
    <n v="760.5"/>
    <n v="234"/>
    <n v="0"/>
    <n v="0"/>
    <n v="1"/>
    <n v="0"/>
    <n v="117"/>
    <n v="0"/>
    <n v="0.23371750201018501"/>
    <n v="0"/>
    <n v="3"/>
    <n v="0"/>
    <n v="0"/>
    <n v="1114.5"/>
    <n v="36"/>
    <n v="234"/>
    <n v="36"/>
    <n v="0"/>
    <n v="0"/>
    <n v="117"/>
    <n v="0"/>
    <n v="0"/>
    <d v="2024-12-09T00:00:00"/>
    <x v="3"/>
    <n v="0"/>
    <n v="13"/>
    <n v="37.31"/>
    <n v="0"/>
    <n v="13"/>
    <n v="0"/>
    <n v="8.7200000000000006"/>
    <n v="28.59"/>
    <n v="1.19"/>
    <n v="0.92"/>
    <n v="0.35"/>
    <n v="14"/>
    <n v="0"/>
    <n v="0"/>
    <n v="37.31"/>
    <n v="0.1"/>
    <n v="0.05"/>
    <n v="0.7"/>
    <n v="32.5"/>
    <n v="0"/>
    <n v="0.65"/>
    <n v="0.98"/>
    <n v="0.96"/>
    <n v="0.9"/>
    <n v="0.2"/>
    <n v="0.1"/>
    <n v="0.05"/>
    <n v="0.05"/>
    <n v="36"/>
    <n v="0"/>
    <n v="0"/>
    <n v="186.06"/>
  </r>
  <r>
    <x v="1"/>
    <n v="48"/>
    <n v="47.06"/>
    <n v="47.06"/>
    <n v="0.98041666666666705"/>
    <n v="994.14250000000004"/>
    <n v="305.89"/>
    <n v="0"/>
    <n v="0"/>
    <n v="1"/>
    <n v="0"/>
    <n v="152.94499999999999"/>
    <n v="0"/>
    <n v="0.285592860178496"/>
    <n v="0"/>
    <n v="36.380000000000003"/>
    <n v="0"/>
    <n v="0"/>
    <n v="1489.3575000000001"/>
    <n v="48"/>
    <n v="305.89"/>
    <n v="47.06"/>
    <n v="0"/>
    <n v="0"/>
    <n v="152.94499999999999"/>
    <n v="0"/>
    <n v="0"/>
    <d v="2024-12-09T00:00:00"/>
    <x v="4"/>
    <n v="0"/>
    <n v="15"/>
    <n v="47.06"/>
    <n v="0"/>
    <n v="15"/>
    <n v="0"/>
    <n v="13.44"/>
    <n v="33.619999999999997"/>
    <n v="43.37"/>
    <n v="13.44"/>
    <n v="0.32"/>
    <n v="17"/>
    <n v="0"/>
    <n v="0"/>
    <n v="47.06"/>
    <n v="0.1"/>
    <n v="0.05"/>
    <n v="0.7"/>
    <n v="32.5"/>
    <n v="0"/>
    <n v="0.65"/>
    <n v="0.98"/>
    <n v="0.96"/>
    <n v="0.9"/>
    <n v="0.2"/>
    <n v="0.1"/>
    <n v="0.05"/>
    <n v="0.05"/>
    <n v="48"/>
    <n v="0"/>
    <n v="0"/>
    <n v="236.12999999999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d v="2024-12-02T00:00:00"/>
    <m/>
    <n v="0"/>
    <x v="0"/>
    <n v="0"/>
    <n v="0"/>
    <n v="0"/>
    <x v="0"/>
    <m/>
    <n v="0"/>
    <m/>
    <n v="0"/>
  </r>
  <r>
    <d v="2024-12-02T00:00:00"/>
    <m/>
    <n v="0"/>
    <x v="1"/>
    <n v="0"/>
    <n v="0"/>
    <n v="0"/>
    <x v="0"/>
    <m/>
    <n v="0"/>
    <m/>
    <n v="0"/>
  </r>
  <r>
    <d v="2024-12-02T00:00:00"/>
    <s v="LIFT VAN"/>
    <n v="0"/>
    <x v="2"/>
    <n v="0"/>
    <n v="0"/>
    <n v="0"/>
    <x v="1"/>
    <n v="21.5"/>
    <n v="0"/>
    <n v="0"/>
    <n v="0"/>
  </r>
  <r>
    <d v="2024-12-02T00:00:00"/>
    <s v="LIFT VAN"/>
    <n v="18"/>
    <x v="3"/>
    <n v="0.5"/>
    <n v="10.9"/>
    <n v="116.9"/>
    <x v="2"/>
    <n v="21.5"/>
    <n v="10.4"/>
    <n v="223.6"/>
    <n v="0"/>
  </r>
  <r>
    <d v="2024-12-02T00:00:00"/>
    <s v="LIFT VAN"/>
    <n v="9"/>
    <x v="4"/>
    <n v="0.5"/>
    <n v="10.67"/>
    <n v="115.7"/>
    <x v="3"/>
    <n v="21.5"/>
    <n v="10.17"/>
    <n v="218.655"/>
    <n v="0"/>
  </r>
  <r>
    <d v="2024-12-02T00:00:00"/>
    <s v="LIFT VAN"/>
    <n v="13"/>
    <x v="5"/>
    <n v="0.5"/>
    <n v="10.57"/>
    <n v="75.7"/>
    <x v="4"/>
    <n v="21.5"/>
    <n v="10.07"/>
    <n v="216.505"/>
    <n v="0"/>
  </r>
  <r>
    <d v="2024-12-02T00:00:00"/>
    <s v="LIFT VAN"/>
    <n v="14"/>
    <x v="6"/>
    <n v="0.5"/>
    <n v="10.8"/>
    <n v="99.6"/>
    <x v="5"/>
    <n v="21.5"/>
    <n v="10.3"/>
    <n v="221.45"/>
    <n v="0"/>
  </r>
  <r>
    <d v="2024-12-02T00:00:00"/>
    <s v="LIFT VAN"/>
    <n v="15"/>
    <x v="7"/>
    <n v="0.5"/>
    <n v="10.33"/>
    <n v="126.7"/>
    <x v="6"/>
    <n v="21.5"/>
    <n v="9.83"/>
    <n v="211.345"/>
    <n v="0"/>
  </r>
  <r>
    <d v="2024-12-02T00:00:00"/>
    <s v="LIFT VAN"/>
    <n v="15"/>
    <x v="8"/>
    <n v="0.5"/>
    <n v="10.220000000000001"/>
    <n v="109.4"/>
    <x v="7"/>
    <n v="21.5"/>
    <n v="9.7200000000000006"/>
    <n v="208.98"/>
    <n v="0"/>
  </r>
  <r>
    <d v="2024-12-02T00:00:00"/>
    <s v="LIFT VAN"/>
    <n v="0"/>
    <x v="9"/>
    <n v="0"/>
    <n v="0"/>
    <n v="0"/>
    <x v="8"/>
    <n v="21.5"/>
    <n v="0"/>
    <n v="0"/>
    <n v="0"/>
  </r>
  <r>
    <d v="2024-12-02T00:00:00"/>
    <s v="LIFT VAN"/>
    <n v="12"/>
    <x v="10"/>
    <n v="0.5"/>
    <n v="10"/>
    <n v="123.3"/>
    <x v="9"/>
    <n v="21.5"/>
    <n v="9.5"/>
    <n v="204.25"/>
    <n v="0"/>
  </r>
  <r>
    <d v="2024-12-02T00:00:00"/>
    <s v="LIFT VAN"/>
    <n v="0"/>
    <x v="11"/>
    <n v="0"/>
    <n v="0"/>
    <n v="0"/>
    <x v="10"/>
    <n v="21.5"/>
    <n v="0"/>
    <n v="0"/>
    <n v="0"/>
  </r>
  <r>
    <d v="2024-12-03T00:00:00"/>
    <m/>
    <n v="0"/>
    <x v="12"/>
    <n v="0"/>
    <n v="0"/>
    <n v="0"/>
    <x v="0"/>
    <m/>
    <n v="0"/>
    <m/>
    <n v="0"/>
  </r>
  <r>
    <d v="2024-12-03T00:00:00"/>
    <m/>
    <n v="0"/>
    <x v="0"/>
    <n v="0"/>
    <n v="0"/>
    <n v="0"/>
    <x v="0"/>
    <m/>
    <n v="0"/>
    <m/>
    <n v="0"/>
  </r>
  <r>
    <d v="2024-12-03T00:00:00"/>
    <m/>
    <n v="0"/>
    <x v="1"/>
    <n v="0"/>
    <n v="0"/>
    <n v="0"/>
    <x v="0"/>
    <m/>
    <n v="0"/>
    <m/>
    <n v="0"/>
  </r>
  <r>
    <d v="2024-12-03T00:00:00"/>
    <s v="LIFT VAN"/>
    <n v="11"/>
    <x v="2"/>
    <n v="0.5"/>
    <n v="9.52"/>
    <n v="113.5"/>
    <x v="1"/>
    <n v="21.5"/>
    <n v="9.02"/>
    <n v="193.93"/>
    <n v="0"/>
  </r>
  <r>
    <d v="2024-12-03T00:00:00"/>
    <s v="LIFT VAN"/>
    <n v="15"/>
    <x v="3"/>
    <n v="0.5"/>
    <n v="10.8"/>
    <n v="126.4"/>
    <x v="2"/>
    <n v="21.5"/>
    <n v="10.3"/>
    <n v="221.45"/>
    <n v="0"/>
  </r>
  <r>
    <d v="2024-12-03T00:00:00"/>
    <s v="LIFT VAN"/>
    <n v="14"/>
    <x v="4"/>
    <n v="0.5"/>
    <n v="10.85"/>
    <n v="106"/>
    <x v="3"/>
    <n v="21.5"/>
    <n v="10.35"/>
    <n v="222.52500000000001"/>
    <n v="0"/>
  </r>
  <r>
    <d v="2024-12-03T00:00:00"/>
    <s v="LIFT VAN"/>
    <n v="6"/>
    <x v="5"/>
    <n v="0.5"/>
    <n v="10"/>
    <n v="94.8"/>
    <x v="4"/>
    <n v="21.5"/>
    <n v="9.5"/>
    <n v="204.25"/>
    <n v="0"/>
  </r>
  <r>
    <d v="2024-12-03T00:00:00"/>
    <s v="LIFT VAN"/>
    <n v="18"/>
    <x v="6"/>
    <n v="0.5"/>
    <n v="9.98"/>
    <n v="127.5"/>
    <x v="5"/>
    <n v="21.5"/>
    <n v="9.48"/>
    <n v="203.82"/>
    <n v="0"/>
  </r>
  <r>
    <d v="2024-12-03T00:00:00"/>
    <s v="LIFT VAN"/>
    <n v="15"/>
    <x v="7"/>
    <n v="0.5"/>
    <n v="10.63"/>
    <n v="144.19999999999999"/>
    <x v="6"/>
    <n v="21.5"/>
    <n v="10.130000000000001"/>
    <n v="217.79499999999999"/>
    <n v="0"/>
  </r>
  <r>
    <d v="2024-12-03T00:00:00"/>
    <s v="LIFT VAN"/>
    <n v="10"/>
    <x v="8"/>
    <n v="0.5"/>
    <n v="10.67"/>
    <n v="112.9"/>
    <x v="7"/>
    <n v="21.5"/>
    <n v="10.17"/>
    <n v="218.655"/>
    <n v="0"/>
  </r>
  <r>
    <d v="2024-12-03T00:00:00"/>
    <s v="LIFT VAN"/>
    <n v="0"/>
    <x v="9"/>
    <n v="0"/>
    <n v="0"/>
    <n v="0"/>
    <x v="8"/>
    <n v="21.5"/>
    <n v="0"/>
    <n v="0"/>
    <n v="0"/>
  </r>
  <r>
    <d v="2024-12-03T00:00:00"/>
    <s v="LIFT VAN"/>
    <n v="12"/>
    <x v="10"/>
    <n v="0.5"/>
    <n v="10.9"/>
    <n v="123.8"/>
    <x v="9"/>
    <n v="21.5"/>
    <n v="10.4"/>
    <n v="223.6"/>
    <n v="0"/>
  </r>
  <r>
    <d v="2024-12-03T00:00:00"/>
    <s v="LIFT VAN"/>
    <n v="10"/>
    <x v="11"/>
    <n v="0.5"/>
    <n v="9"/>
    <n v="113.4"/>
    <x v="10"/>
    <n v="21.5"/>
    <n v="8.5"/>
    <n v="182.75"/>
    <n v="0"/>
  </r>
  <r>
    <d v="2024-12-04T00:00:00"/>
    <m/>
    <n v="0"/>
    <x v="1"/>
    <n v="0"/>
    <n v="0"/>
    <n v="0"/>
    <x v="0"/>
    <m/>
    <n v="0"/>
    <m/>
    <n v="0"/>
  </r>
  <r>
    <d v="2024-12-04T00:00:00"/>
    <m/>
    <n v="0"/>
    <x v="12"/>
    <n v="0"/>
    <n v="0"/>
    <n v="0"/>
    <x v="0"/>
    <m/>
    <n v="0"/>
    <m/>
    <n v="0"/>
  </r>
  <r>
    <d v="2024-12-04T00:00:00"/>
    <m/>
    <n v="0"/>
    <x v="0"/>
    <n v="0"/>
    <n v="0"/>
    <n v="0"/>
    <x v="0"/>
    <m/>
    <n v="0"/>
    <m/>
    <n v="0"/>
  </r>
  <r>
    <d v="2024-12-04T00:00:00"/>
    <s v="LIFT VAN"/>
    <n v="13"/>
    <x v="2"/>
    <n v="0.5"/>
    <n v="10.77"/>
    <n v="118.8"/>
    <x v="1"/>
    <n v="21.5"/>
    <n v="10.27"/>
    <n v="220.80500000000001"/>
    <n v="0"/>
  </r>
  <r>
    <d v="2024-12-04T00:00:00"/>
    <s v="LIFT VAN"/>
    <n v="13"/>
    <x v="3"/>
    <n v="0.5"/>
    <n v="10.42"/>
    <n v="134.4"/>
    <x v="2"/>
    <n v="21.5"/>
    <n v="9.92"/>
    <n v="213.28"/>
    <n v="0"/>
  </r>
  <r>
    <d v="2024-12-04T00:00:00"/>
    <s v="LIFT VAN"/>
    <n v="13"/>
    <x v="4"/>
    <n v="0.5"/>
    <n v="10.52"/>
    <n v="118.7"/>
    <x v="3"/>
    <n v="21.5"/>
    <n v="10.02"/>
    <n v="215.43"/>
    <n v="0"/>
  </r>
  <r>
    <d v="2024-12-04T00:00:00"/>
    <s v="LIFT VAN"/>
    <n v="14"/>
    <x v="5"/>
    <n v="0.5"/>
    <n v="10.48"/>
    <n v="100.9"/>
    <x v="4"/>
    <n v="21.5"/>
    <n v="9.98"/>
    <n v="214.57"/>
    <n v="0"/>
  </r>
  <r>
    <d v="2024-12-04T00:00:00"/>
    <s v="LIFT VAN"/>
    <n v="12"/>
    <x v="6"/>
    <n v="0.5"/>
    <n v="9.9499999999999993"/>
    <n v="102"/>
    <x v="5"/>
    <n v="21.5"/>
    <n v="9.4499999999999993"/>
    <n v="203.17500000000001"/>
    <n v="0"/>
  </r>
  <r>
    <d v="2024-12-04T00:00:00"/>
    <s v="LIFT VAN"/>
    <n v="12"/>
    <x v="7"/>
    <n v="0.5"/>
    <n v="10.83"/>
    <n v="112.7"/>
    <x v="6"/>
    <n v="21.5"/>
    <n v="10.33"/>
    <n v="222.095"/>
    <n v="0"/>
  </r>
  <r>
    <d v="2024-12-04T00:00:00"/>
    <s v="LIFT VAN"/>
    <n v="11"/>
    <x v="8"/>
    <n v="0.5"/>
    <n v="10.35"/>
    <n v="116.9"/>
    <x v="7"/>
    <n v="21.5"/>
    <n v="9.85"/>
    <n v="211.77500000000001"/>
    <n v="0"/>
  </r>
  <r>
    <d v="2024-12-04T00:00:00"/>
    <s v="LIFT VAN"/>
    <n v="0"/>
    <x v="9"/>
    <n v="0"/>
    <n v="0"/>
    <n v="0"/>
    <x v="8"/>
    <n v="21.5"/>
    <n v="0"/>
    <n v="0"/>
    <n v="0"/>
  </r>
  <r>
    <d v="2024-12-04T00:00:00"/>
    <s v="LIFT VAN"/>
    <n v="11"/>
    <x v="10"/>
    <n v="0.5"/>
    <n v="10.029999999999999"/>
    <n v="121.7"/>
    <x v="9"/>
    <n v="21.5"/>
    <n v="9.5299999999999994"/>
    <n v="204.89500000000001"/>
    <n v="0"/>
  </r>
  <r>
    <d v="2024-12-04T00:00:00"/>
    <s v="LIFT VAN"/>
    <n v="11"/>
    <x v="11"/>
    <n v="0.5"/>
    <n v="11.77"/>
    <n v="98.2"/>
    <x v="10"/>
    <n v="21.5"/>
    <n v="11.27"/>
    <n v="242.30500000000001"/>
    <n v="0"/>
  </r>
  <r>
    <d v="2024-12-05T00:00:00"/>
    <m/>
    <n v="0"/>
    <x v="0"/>
    <n v="0"/>
    <n v="0"/>
    <n v="0"/>
    <x v="0"/>
    <m/>
    <n v="0"/>
    <m/>
    <n v="0"/>
  </r>
  <r>
    <d v="2024-12-05T00:00:00"/>
    <m/>
    <n v="0"/>
    <x v="12"/>
    <n v="0"/>
    <n v="0"/>
    <n v="0"/>
    <x v="0"/>
    <m/>
    <n v="0"/>
    <m/>
    <n v="0"/>
  </r>
  <r>
    <d v="2024-12-05T00:00:00"/>
    <m/>
    <n v="0"/>
    <x v="1"/>
    <n v="0"/>
    <n v="0"/>
    <n v="0"/>
    <x v="0"/>
    <m/>
    <n v="0"/>
    <m/>
    <n v="0"/>
  </r>
  <r>
    <d v="2024-12-05T00:00:00"/>
    <s v="LIFT VAN"/>
    <n v="12"/>
    <x v="2"/>
    <n v="0.5"/>
    <n v="10.17"/>
    <n v="126.9"/>
    <x v="1"/>
    <n v="21.5"/>
    <n v="9.67"/>
    <n v="207.905"/>
    <n v="0"/>
  </r>
  <r>
    <d v="2024-12-05T00:00:00"/>
    <s v="LIFT VAN"/>
    <n v="13"/>
    <x v="3"/>
    <n v="0.5"/>
    <n v="10.62"/>
    <n v="166.7"/>
    <x v="2"/>
    <n v="21.5"/>
    <n v="10.119999999999999"/>
    <n v="217.58"/>
    <n v="0"/>
  </r>
  <r>
    <d v="2024-12-05T00:00:00"/>
    <s v="LIFT VAN"/>
    <n v="11"/>
    <x v="4"/>
    <n v="0.5"/>
    <n v="10.25"/>
    <n v="129.6"/>
    <x v="3"/>
    <n v="21.5"/>
    <n v="9.75"/>
    <n v="209.625"/>
    <n v="0"/>
  </r>
  <r>
    <d v="2024-12-05T00:00:00"/>
    <s v="LIFT VAN"/>
    <n v="15"/>
    <x v="5"/>
    <n v="0.5"/>
    <n v="10.75"/>
    <n v="122.1"/>
    <x v="4"/>
    <n v="21.5"/>
    <n v="10.25"/>
    <n v="220.375"/>
    <n v="0"/>
  </r>
  <r>
    <d v="2024-12-05T00:00:00"/>
    <s v="LIFT VAN"/>
    <n v="10"/>
    <x v="6"/>
    <n v="0.5"/>
    <n v="9.98"/>
    <n v="128"/>
    <x v="5"/>
    <n v="21.5"/>
    <n v="9.48"/>
    <n v="203.82"/>
    <n v="0"/>
  </r>
  <r>
    <d v="2024-12-05T00:00:00"/>
    <s v="LIFT VAN"/>
    <n v="15"/>
    <x v="7"/>
    <n v="0.38"/>
    <n v="10.1"/>
    <n v="131.80000000000001"/>
    <x v="6"/>
    <n v="21.5"/>
    <n v="9.7199999999999989"/>
    <n v="208.98"/>
    <n v="0"/>
  </r>
  <r>
    <d v="2024-12-05T00:00:00"/>
    <s v="LIFT VAN"/>
    <n v="2"/>
    <x v="8"/>
    <n v="0"/>
    <n v="2.4300000000000002"/>
    <n v="15.8"/>
    <x v="7"/>
    <n v="21.5"/>
    <n v="2.4300000000000002"/>
    <n v="52.244999999999997"/>
    <n v="0"/>
  </r>
  <r>
    <d v="2024-12-05T00:00:00"/>
    <s v="LIFT VAN"/>
    <n v="8"/>
    <x v="9"/>
    <n v="0.5"/>
    <n v="10.220000000000001"/>
    <n v="104.8"/>
    <x v="8"/>
    <n v="21.5"/>
    <n v="9.7200000000000006"/>
    <n v="208.98"/>
    <n v="0"/>
  </r>
  <r>
    <d v="2024-12-05T00:00:00"/>
    <s v="LIFT VAN"/>
    <n v="16"/>
    <x v="10"/>
    <n v="0.5"/>
    <n v="10.95"/>
    <n v="130.4"/>
    <x v="9"/>
    <n v="21.5"/>
    <n v="10.45"/>
    <n v="224.67500000000001"/>
    <n v="0"/>
  </r>
  <r>
    <d v="2024-12-05T00:00:00"/>
    <s v="LIFT VAN"/>
    <n v="17"/>
    <x v="11"/>
    <n v="0.5"/>
    <n v="11.28"/>
    <n v="166.2"/>
    <x v="10"/>
    <n v="21.5"/>
    <n v="10.78"/>
    <n v="231.77"/>
    <n v="0"/>
  </r>
  <r>
    <d v="2024-12-06T00:00:00"/>
    <m/>
    <n v="0"/>
    <x v="12"/>
    <n v="0"/>
    <n v="0"/>
    <n v="0"/>
    <x v="0"/>
    <m/>
    <n v="0"/>
    <m/>
    <n v="0"/>
  </r>
  <r>
    <d v="2024-12-06T00:00:00"/>
    <m/>
    <n v="0"/>
    <x v="0"/>
    <n v="0"/>
    <n v="0"/>
    <n v="0"/>
    <x v="0"/>
    <m/>
    <n v="0"/>
    <m/>
    <n v="0"/>
  </r>
  <r>
    <d v="2024-12-06T00:00:00"/>
    <m/>
    <n v="0"/>
    <x v="1"/>
    <n v="0"/>
    <n v="0"/>
    <n v="0"/>
    <x v="0"/>
    <m/>
    <n v="0"/>
    <m/>
    <n v="0"/>
  </r>
  <r>
    <d v="2024-12-06T00:00:00"/>
    <s v="LIFT VAN"/>
    <n v="10"/>
    <x v="2"/>
    <n v="0.5"/>
    <n v="8.58"/>
    <n v="113.9"/>
    <x v="1"/>
    <n v="21.5"/>
    <n v="8.08"/>
    <n v="173.72"/>
    <n v="0"/>
  </r>
  <r>
    <d v="2024-12-06T00:00:00"/>
    <s v="LIFT VAN"/>
    <n v="13"/>
    <x v="3"/>
    <n v="0.5"/>
    <n v="11.37"/>
    <n v="117"/>
    <x v="2"/>
    <n v="21.5"/>
    <n v="10.87"/>
    <n v="233.70500000000001"/>
    <n v="0"/>
  </r>
  <r>
    <d v="2024-12-06T00:00:00"/>
    <s v="LIFT VAN"/>
    <n v="13"/>
    <x v="4"/>
    <n v="0.5"/>
    <n v="11"/>
    <n v="134"/>
    <x v="3"/>
    <n v="21.5"/>
    <n v="10.5"/>
    <n v="225.75"/>
    <n v="0"/>
  </r>
  <r>
    <d v="2024-12-06T00:00:00"/>
    <s v="LIFT VAN"/>
    <n v="12"/>
    <x v="5"/>
    <n v="0.5"/>
    <n v="10.17"/>
    <n v="106.2"/>
    <x v="4"/>
    <n v="21.5"/>
    <n v="9.67"/>
    <n v="207.905"/>
    <n v="0"/>
  </r>
  <r>
    <d v="2024-12-06T00:00:00"/>
    <s v="LIFT VAN"/>
    <n v="16"/>
    <x v="6"/>
    <n v="0.5"/>
    <n v="10.52"/>
    <n v="113"/>
    <x v="5"/>
    <n v="21.5"/>
    <n v="10.02"/>
    <n v="215.43"/>
    <n v="0"/>
  </r>
  <r>
    <d v="2024-12-06T00:00:00"/>
    <s v="LIFT VAN"/>
    <n v="13"/>
    <x v="7"/>
    <n v="0.5"/>
    <n v="10.1"/>
    <n v="149.30000000000001"/>
    <x v="6"/>
    <n v="21.5"/>
    <n v="9.6"/>
    <n v="206.4"/>
    <n v="0"/>
  </r>
  <r>
    <d v="2024-12-06T00:00:00"/>
    <s v="LIFT VAN"/>
    <n v="0"/>
    <x v="8"/>
    <n v="0"/>
    <n v="0"/>
    <n v="0"/>
    <x v="7"/>
    <n v="21.5"/>
    <n v="0"/>
    <n v="0"/>
    <n v="0"/>
  </r>
  <r>
    <d v="2024-12-06T00:00:00"/>
    <s v="LIFT VAN"/>
    <n v="7"/>
    <x v="9"/>
    <n v="0.5"/>
    <n v="11.37"/>
    <n v="71.400000000000006"/>
    <x v="8"/>
    <n v="21.5"/>
    <n v="10.87"/>
    <n v="233.70500000000001"/>
    <n v="0"/>
  </r>
  <r>
    <d v="2024-12-06T00:00:00"/>
    <s v="LIFT VAN"/>
    <n v="10"/>
    <x v="10"/>
    <n v="0.5"/>
    <n v="10.62"/>
    <n v="128.6"/>
    <x v="9"/>
    <n v="21.5"/>
    <n v="10.119999999999999"/>
    <n v="217.58"/>
    <n v="0"/>
  </r>
  <r>
    <d v="2024-12-06T00:00:00"/>
    <s v="LIFT VAN"/>
    <n v="11"/>
    <x v="11"/>
    <n v="0.5"/>
    <n v="10.82"/>
    <n v="131.19999999999999"/>
    <x v="10"/>
    <n v="21.5"/>
    <n v="10.32"/>
    <n v="221.88"/>
    <n v="0"/>
  </r>
  <r>
    <d v="2024-12-07T00:00:00"/>
    <m/>
    <n v="0"/>
    <x v="12"/>
    <n v="0"/>
    <n v="0"/>
    <n v="0"/>
    <x v="0"/>
    <m/>
    <n v="0"/>
    <m/>
    <n v="0"/>
  </r>
  <r>
    <d v="2024-12-08T00:00:00"/>
    <s v="LIFT VAN"/>
    <n v="5"/>
    <x v="3"/>
    <n v="0"/>
    <n v="4.9000000000000004"/>
    <n v="83.2"/>
    <x v="2"/>
    <n v="21.5"/>
    <n v="4.9000000000000004"/>
    <n v="105.35"/>
    <n v="0"/>
  </r>
  <r>
    <d v="2024-12-08T00:00:00"/>
    <s v="LIFT VAN"/>
    <n v="10"/>
    <x v="11"/>
    <n v="0.35"/>
    <n v="10.8"/>
    <n v="118"/>
    <x v="10"/>
    <n v="21.5"/>
    <n v="10.450000000000001"/>
    <n v="224.67500000000001"/>
    <n v="0"/>
  </r>
  <r>
    <d v="2024-12-09T00:00:00"/>
    <m/>
    <n v="0"/>
    <x v="1"/>
    <n v="0"/>
    <n v="0"/>
    <n v="0"/>
    <x v="0"/>
    <m/>
    <n v="0"/>
    <m/>
    <n v="0"/>
  </r>
  <r>
    <d v="2024-12-09T00:00:00"/>
    <m/>
    <n v="0"/>
    <x v="0"/>
    <n v="0"/>
    <n v="0"/>
    <n v="0"/>
    <x v="0"/>
    <m/>
    <n v="0"/>
    <m/>
    <n v="0"/>
  </r>
  <r>
    <d v="2024-12-09T00:00:00"/>
    <s v="LIFT VAN"/>
    <n v="17"/>
    <x v="2"/>
    <n v="0.5"/>
    <n v="10.45"/>
    <n v="131.19999999999999"/>
    <x v="1"/>
    <n v="21.5"/>
    <n v="9.9499999999999993"/>
    <n v="213.92500000000001"/>
    <n v="0"/>
  </r>
  <r>
    <d v="2024-12-09T00:00:00"/>
    <s v="LIFT VAN"/>
    <n v="17"/>
    <x v="3"/>
    <n v="0.5"/>
    <n v="10.87"/>
    <n v="162.5"/>
    <x v="2"/>
    <n v="21.5"/>
    <n v="10.37"/>
    <n v="222.95500000000001"/>
    <n v="0"/>
  </r>
  <r>
    <d v="2024-12-09T00:00:00"/>
    <s v="LIFT VAN"/>
    <n v="14"/>
    <x v="4"/>
    <n v="0.5"/>
    <n v="10.5"/>
    <n v="96.7"/>
    <x v="3"/>
    <n v="21.5"/>
    <n v="10"/>
    <n v="215"/>
    <n v="0"/>
  </r>
  <r>
    <d v="2024-12-09T00:00:00"/>
    <s v="LIFT VAN"/>
    <n v="12"/>
    <x v="5"/>
    <n v="0.5"/>
    <n v="9.9499999999999993"/>
    <n v="103"/>
    <x v="4"/>
    <n v="21.5"/>
    <n v="9.4499999999999993"/>
    <n v="203.17500000000001"/>
    <n v="0"/>
  </r>
  <r>
    <d v="2024-12-09T00:00:00"/>
    <s v="LIFT VAN"/>
    <n v="13"/>
    <x v="6"/>
    <n v="0.5"/>
    <n v="10.45"/>
    <n v="109.4"/>
    <x v="5"/>
    <n v="21.5"/>
    <n v="9.9499999999999993"/>
    <n v="213.92500000000001"/>
    <n v="0"/>
  </r>
  <r>
    <d v="2024-12-09T00:00:00"/>
    <s v="LIFT VAN"/>
    <n v="15"/>
    <x v="7"/>
    <n v="0.5"/>
    <n v="10.37"/>
    <n v="115"/>
    <x v="6"/>
    <n v="21.5"/>
    <n v="9.8699999999999992"/>
    <n v="212.20500000000001"/>
    <n v="0"/>
  </r>
  <r>
    <d v="2024-12-09T00:00:00"/>
    <s v="LIFT VAN"/>
    <n v="15"/>
    <x v="8"/>
    <n v="0.5"/>
    <n v="10.72"/>
    <n v="110"/>
    <x v="7"/>
    <n v="21.5"/>
    <n v="10.220000000000001"/>
    <n v="219.73"/>
    <n v="0"/>
  </r>
  <r>
    <d v="2024-12-09T00:00:00"/>
    <s v="LIFT VAN"/>
    <n v="13"/>
    <x v="9"/>
    <n v="0.18"/>
    <n v="11.03"/>
    <n v="108.3"/>
    <x v="8"/>
    <n v="21.5"/>
    <n v="10.85"/>
    <n v="233.27500000000001"/>
    <n v="0"/>
  </r>
  <r>
    <d v="2024-12-09T00:00:00"/>
    <s v="LIFT VAN"/>
    <n v="16"/>
    <x v="10"/>
    <n v="0.5"/>
    <n v="10.7"/>
    <n v="128.1"/>
    <x v="9"/>
    <n v="21.5"/>
    <n v="10.199999999999999"/>
    <n v="219.3"/>
    <n v="0"/>
  </r>
  <r>
    <d v="2024-12-09T00:00:00"/>
    <s v="LIFT VAN"/>
    <n v="17"/>
    <x v="11"/>
    <n v="0.5"/>
    <n v="10.87"/>
    <n v="131.30000000000001"/>
    <x v="10"/>
    <n v="21.5"/>
    <n v="10.37"/>
    <n v="222.95500000000001"/>
    <n v="0"/>
  </r>
  <r>
    <d v="2024-12-10T00:00:00"/>
    <m/>
    <n v="0"/>
    <x v="12"/>
    <n v="0"/>
    <n v="0"/>
    <n v="0"/>
    <x v="0"/>
    <m/>
    <n v="0"/>
    <m/>
    <n v="0"/>
  </r>
  <r>
    <d v="2024-12-10T00:00:00"/>
    <m/>
    <n v="0"/>
    <x v="0"/>
    <n v="0"/>
    <n v="0"/>
    <n v="0"/>
    <x v="0"/>
    <m/>
    <n v="0"/>
    <m/>
    <n v="0"/>
  </r>
  <r>
    <d v="2024-12-10T00:00:00"/>
    <m/>
    <n v="0"/>
    <x v="1"/>
    <n v="0"/>
    <n v="0"/>
    <n v="0"/>
    <x v="0"/>
    <m/>
    <n v="0"/>
    <m/>
    <n v="0"/>
  </r>
  <r>
    <d v="2024-12-10T00:00:00"/>
    <s v="LIFT VAN"/>
    <n v="14"/>
    <x v="2"/>
    <n v="0.5"/>
    <n v="9.4700000000000006"/>
    <n v="106"/>
    <x v="1"/>
    <n v="21.5"/>
    <n v="8.9700000000000006"/>
    <n v="192.85499999999999"/>
    <n v="0"/>
  </r>
  <r>
    <d v="2024-12-10T00:00:00"/>
    <s v="LIFT VAN"/>
    <n v="14"/>
    <x v="3"/>
    <n v="0.38"/>
    <n v="10.95"/>
    <n v="127.5"/>
    <x v="2"/>
    <n v="21.5"/>
    <n v="10.569999999999999"/>
    <n v="227.255"/>
    <n v="0"/>
  </r>
  <r>
    <d v="2024-12-10T00:00:00"/>
    <s v="LIFT VAN"/>
    <n v="15"/>
    <x v="4"/>
    <n v="0.5"/>
    <n v="10.33"/>
    <n v="96"/>
    <x v="3"/>
    <n v="21.5"/>
    <n v="9.83"/>
    <n v="211.345"/>
    <n v="0"/>
  </r>
  <r>
    <d v="2024-12-10T00:00:00"/>
    <s v="LIFT VAN"/>
    <n v="18"/>
    <x v="5"/>
    <n v="0.5"/>
    <n v="10.25"/>
    <n v="147.80000000000001"/>
    <x v="4"/>
    <n v="21.5"/>
    <n v="9.75"/>
    <n v="209.625"/>
    <n v="0"/>
  </r>
  <r>
    <d v="2024-12-10T00:00:00"/>
    <s v="LIFT VAN"/>
    <n v="15"/>
    <x v="6"/>
    <n v="0.5"/>
    <n v="10.02"/>
    <n v="117.9"/>
    <x v="5"/>
    <n v="21.5"/>
    <n v="9.52"/>
    <n v="204.68"/>
    <n v="0"/>
  </r>
  <r>
    <d v="2024-12-10T00:00:00"/>
    <s v="LIFT VAN"/>
    <n v="9"/>
    <x v="7"/>
    <n v="0.5"/>
    <n v="8.07"/>
    <n v="79.3"/>
    <x v="6"/>
    <n v="21.5"/>
    <n v="7.57"/>
    <n v="162.755"/>
    <n v="0"/>
  </r>
  <r>
    <d v="2024-12-10T00:00:00"/>
    <s v="LIFT VAN"/>
    <n v="13"/>
    <x v="8"/>
    <n v="0.5"/>
    <n v="10.02"/>
    <n v="126"/>
    <x v="7"/>
    <n v="21.5"/>
    <n v="9.52"/>
    <n v="204.68"/>
    <n v="0"/>
  </r>
  <r>
    <d v="2024-12-10T00:00:00"/>
    <s v="LIFT VAN"/>
    <n v="11"/>
    <x v="9"/>
    <n v="0.5"/>
    <n v="11.45"/>
    <n v="96.2"/>
    <x v="8"/>
    <n v="21.5"/>
    <n v="10.95"/>
    <n v="235.42500000000001"/>
    <n v="0"/>
  </r>
  <r>
    <d v="2024-12-10T00:00:00"/>
    <s v="LIFT VAN"/>
    <n v="9"/>
    <x v="10"/>
    <n v="0.5"/>
    <n v="10.32"/>
    <n v="92.8"/>
    <x v="9"/>
    <n v="21.5"/>
    <n v="9.82"/>
    <n v="211.13"/>
    <n v="0"/>
  </r>
  <r>
    <d v="2024-12-10T00:00:00"/>
    <s v="LIFT VAN"/>
    <n v="17"/>
    <x v="11"/>
    <n v="0.5"/>
    <n v="12.23"/>
    <n v="130.1"/>
    <x v="10"/>
    <n v="21.5"/>
    <n v="11.73"/>
    <n v="252.19499999999999"/>
    <n v="0"/>
  </r>
  <r>
    <d v="2024-12-11T00:00:00"/>
    <m/>
    <n v="0"/>
    <x v="0"/>
    <n v="0"/>
    <n v="0"/>
    <n v="0"/>
    <x v="0"/>
    <m/>
    <n v="0"/>
    <m/>
    <n v="0"/>
  </r>
  <r>
    <d v="2024-12-11T00:00:00"/>
    <m/>
    <n v="0"/>
    <x v="1"/>
    <n v="0"/>
    <n v="0"/>
    <n v="0"/>
    <x v="0"/>
    <m/>
    <n v="0"/>
    <m/>
    <n v="0"/>
  </r>
  <r>
    <d v="2024-12-11T00:00:00"/>
    <m/>
    <n v="0"/>
    <x v="12"/>
    <n v="0"/>
    <n v="0"/>
    <n v="0"/>
    <x v="0"/>
    <m/>
    <n v="0"/>
    <m/>
    <n v="0"/>
  </r>
  <r>
    <d v="2024-12-11T00:00:00"/>
    <s v="LIFT VAN"/>
    <n v="11"/>
    <x v="2"/>
    <n v="0.5"/>
    <n v="10.17"/>
    <n v="95.8"/>
    <x v="1"/>
    <n v="21.5"/>
    <n v="9.67"/>
    <n v="207.905"/>
    <n v="0"/>
  </r>
  <r>
    <d v="2024-12-11T00:00:00"/>
    <s v="LIFT VAN"/>
    <n v="19"/>
    <x v="3"/>
    <n v="0.5"/>
    <n v="11.13"/>
    <n v="134.4"/>
    <x v="2"/>
    <n v="21.5"/>
    <n v="10.63"/>
    <n v="228.54499999999999"/>
    <n v="0"/>
  </r>
  <r>
    <d v="2024-12-11T00:00:00"/>
    <s v="LIFT VAN"/>
    <n v="13"/>
    <x v="4"/>
    <n v="0.5"/>
    <n v="10.68"/>
    <n v="113.1"/>
    <x v="3"/>
    <n v="21.5"/>
    <n v="10.18"/>
    <n v="218.87"/>
    <n v="0"/>
  </r>
  <r>
    <d v="2024-12-11T00:00:00"/>
    <s v="LIFT VAN"/>
    <n v="15"/>
    <x v="5"/>
    <n v="0.5"/>
    <n v="10.7"/>
    <n v="135.4"/>
    <x v="4"/>
    <n v="21.5"/>
    <n v="10.199999999999999"/>
    <n v="219.3"/>
    <n v="0"/>
  </r>
  <r>
    <d v="2024-12-11T00:00:00"/>
    <s v="LIFT VAN"/>
    <n v="9"/>
    <x v="6"/>
    <n v="0.5"/>
    <n v="9.8000000000000007"/>
    <n v="109.6"/>
    <x v="5"/>
    <n v="21.5"/>
    <n v="9.3000000000000007"/>
    <n v="199.95"/>
    <n v="0"/>
  </r>
  <r>
    <d v="2024-12-11T00:00:00"/>
    <s v="LIFT VAN"/>
    <n v="14"/>
    <x v="7"/>
    <n v="0.5"/>
    <n v="11.27"/>
    <n v="164.6"/>
    <x v="6"/>
    <n v="21.5"/>
    <n v="10.77"/>
    <n v="231.55500000000001"/>
    <n v="0"/>
  </r>
  <r>
    <d v="2024-12-11T00:00:00"/>
    <s v="LIFT VAN"/>
    <n v="12"/>
    <x v="8"/>
    <n v="0.5"/>
    <n v="9.3800000000000008"/>
    <n v="114"/>
    <x v="7"/>
    <n v="21.5"/>
    <n v="8.8800000000000008"/>
    <n v="190.92"/>
    <n v="0"/>
  </r>
  <r>
    <d v="2024-12-11T00:00:00"/>
    <s v="LIFT VAN"/>
    <n v="15"/>
    <x v="9"/>
    <n v="0.5"/>
    <n v="10.7"/>
    <n v="88"/>
    <x v="8"/>
    <n v="21.5"/>
    <n v="10.199999999999999"/>
    <n v="219.3"/>
    <n v="0"/>
  </r>
  <r>
    <d v="2024-12-11T00:00:00"/>
    <s v="LIFT VAN"/>
    <n v="15"/>
    <x v="10"/>
    <n v="0.5"/>
    <n v="10.75"/>
    <n v="128"/>
    <x v="9"/>
    <n v="21.5"/>
    <n v="10.25"/>
    <n v="220.375"/>
    <n v="0"/>
  </r>
  <r>
    <d v="2024-12-11T00:00:00"/>
    <s v="LIFT VAN"/>
    <n v="14"/>
    <x v="11"/>
    <n v="0.5"/>
    <n v="12.15"/>
    <n v="116.4"/>
    <x v="10"/>
    <n v="21.5"/>
    <n v="11.65"/>
    <n v="250.47499999999999"/>
    <n v="0"/>
  </r>
  <r>
    <d v="2024-12-12T00:00:00"/>
    <m/>
    <n v="0"/>
    <x v="12"/>
    <n v="0"/>
    <n v="0"/>
    <n v="0"/>
    <x v="0"/>
    <m/>
    <n v="0"/>
    <m/>
    <n v="0"/>
  </r>
  <r>
    <d v="2024-12-12T00:00:00"/>
    <m/>
    <n v="0"/>
    <x v="0"/>
    <n v="0"/>
    <n v="0"/>
    <n v="0"/>
    <x v="0"/>
    <m/>
    <n v="0"/>
    <m/>
    <n v="0"/>
  </r>
  <r>
    <d v="2024-12-12T00:00:00"/>
    <m/>
    <n v="0"/>
    <x v="1"/>
    <n v="0"/>
    <n v="0"/>
    <n v="0"/>
    <x v="0"/>
    <m/>
    <n v="0"/>
    <m/>
    <n v="0"/>
  </r>
  <r>
    <d v="2024-12-12T00:00:00"/>
    <s v="LIFT VAN"/>
    <n v="18"/>
    <x v="2"/>
    <n v="0.5"/>
    <n v="10.38"/>
    <n v="122.1"/>
    <x v="1"/>
    <n v="21.5"/>
    <n v="9.8800000000000008"/>
    <n v="212.42"/>
    <n v="0"/>
  </r>
  <r>
    <d v="2024-12-12T00:00:00"/>
    <s v="LIFT VAN"/>
    <n v="17"/>
    <x v="3"/>
    <n v="0.5"/>
    <n v="11"/>
    <n v="118.8"/>
    <x v="2"/>
    <n v="21.5"/>
    <n v="10.5"/>
    <n v="225.75"/>
    <n v="0"/>
  </r>
  <r>
    <d v="2024-12-12T00:00:00"/>
    <s v="LIFT VAN"/>
    <n v="13"/>
    <x v="4"/>
    <n v="0.5"/>
    <n v="9.9700000000000006"/>
    <n v="103.1"/>
    <x v="3"/>
    <n v="21.5"/>
    <n v="9.4700000000000006"/>
    <n v="203.60499999999999"/>
    <n v="0"/>
  </r>
  <r>
    <d v="2024-12-12T00:00:00"/>
    <s v="LIFT VAN"/>
    <n v="10"/>
    <x v="5"/>
    <n v="0.5"/>
    <n v="10.27"/>
    <n v="102.2"/>
    <x v="4"/>
    <n v="21.5"/>
    <n v="9.77"/>
    <n v="210.05500000000001"/>
    <n v="0"/>
  </r>
  <r>
    <d v="2024-12-12T00:00:00"/>
    <s v="LIFT VAN"/>
    <n v="11"/>
    <x v="6"/>
    <n v="0.5"/>
    <n v="10.97"/>
    <n v="110.1"/>
    <x v="5"/>
    <n v="21.5"/>
    <n v="10.47"/>
    <n v="225.10499999999999"/>
    <n v="0"/>
  </r>
  <r>
    <d v="2024-12-12T00:00:00"/>
    <s v="LIFT VAN"/>
    <n v="13"/>
    <x v="7"/>
    <n v="0.5"/>
    <n v="10.62"/>
    <n v="113.8"/>
    <x v="6"/>
    <n v="21.5"/>
    <n v="10.119999999999999"/>
    <n v="217.58"/>
    <n v="0"/>
  </r>
  <r>
    <d v="2024-12-12T00:00:00"/>
    <s v="LIFT VAN"/>
    <n v="11"/>
    <x v="8"/>
    <n v="0.5"/>
    <n v="10.5"/>
    <n v="112.2"/>
    <x v="7"/>
    <n v="21.5"/>
    <n v="10"/>
    <n v="215"/>
    <n v="0"/>
  </r>
  <r>
    <d v="2024-12-12T00:00:00"/>
    <s v="LIFT VAN"/>
    <n v="11"/>
    <x v="9"/>
    <n v="0.5"/>
    <n v="11.15"/>
    <n v="101.6"/>
    <x v="8"/>
    <n v="21.5"/>
    <n v="10.65"/>
    <n v="228.97499999999999"/>
    <n v="0"/>
  </r>
  <r>
    <d v="2024-12-12T00:00:00"/>
    <s v="LIFT VAN"/>
    <n v="12"/>
    <x v="10"/>
    <n v="0.5"/>
    <n v="10.77"/>
    <n v="145"/>
    <x v="9"/>
    <n v="21.5"/>
    <n v="10.27"/>
    <n v="220.80500000000001"/>
    <n v="0"/>
  </r>
  <r>
    <d v="2024-12-12T00:00:00"/>
    <s v="LIFT VAN"/>
    <n v="8"/>
    <x v="11"/>
    <n v="0"/>
    <n v="5.8"/>
    <n v="85.8"/>
    <x v="10"/>
    <n v="21.5"/>
    <n v="5.8"/>
    <n v="124.7"/>
    <n v="0"/>
  </r>
  <r>
    <d v="2024-12-13T00:00:00"/>
    <m/>
    <n v="0"/>
    <x v="12"/>
    <n v="0"/>
    <n v="0"/>
    <n v="0"/>
    <x v="0"/>
    <m/>
    <n v="0"/>
    <m/>
    <n v="0"/>
  </r>
  <r>
    <d v="2024-12-13T00:00:00"/>
    <m/>
    <n v="0"/>
    <x v="0"/>
    <n v="0"/>
    <n v="0"/>
    <n v="0"/>
    <x v="0"/>
    <m/>
    <n v="0"/>
    <m/>
    <n v="0"/>
  </r>
  <r>
    <d v="2024-12-13T00:00:00"/>
    <m/>
    <n v="0"/>
    <x v="1"/>
    <n v="0"/>
    <n v="0"/>
    <n v="0"/>
    <x v="0"/>
    <m/>
    <n v="0"/>
    <m/>
    <n v="0"/>
  </r>
  <r>
    <d v="2024-12-13T00:00:00"/>
    <s v="LIFT VAN"/>
    <n v="14"/>
    <x v="2"/>
    <n v="0.5"/>
    <n v="10.37"/>
    <n v="106.7"/>
    <x v="1"/>
    <n v="21.5"/>
    <n v="9.8699999999999992"/>
    <n v="212.20500000000001"/>
    <n v="0"/>
  </r>
  <r>
    <d v="2024-12-13T00:00:00"/>
    <s v="LIFT VAN"/>
    <n v="17"/>
    <x v="3"/>
    <n v="0.5"/>
    <n v="11.58"/>
    <n v="161.5"/>
    <x v="2"/>
    <n v="21.5"/>
    <n v="11.08"/>
    <n v="238.22"/>
    <n v="0"/>
  </r>
  <r>
    <d v="2024-12-13T00:00:00"/>
    <s v="LIFT VAN"/>
    <n v="13"/>
    <x v="4"/>
    <n v="0.5"/>
    <n v="9.92"/>
    <n v="112"/>
    <x v="3"/>
    <n v="21.5"/>
    <n v="9.42"/>
    <n v="202.53"/>
    <n v="0"/>
  </r>
  <r>
    <d v="2024-12-13T00:00:00"/>
    <s v="LIFT VAN"/>
    <n v="15"/>
    <x v="5"/>
    <n v="0.5"/>
    <n v="11.2"/>
    <n v="153.69999999999999"/>
    <x v="4"/>
    <n v="21.5"/>
    <n v="10.7"/>
    <n v="230.05"/>
    <n v="0"/>
  </r>
  <r>
    <d v="2024-12-13T00:00:00"/>
    <s v="LIFT VAN"/>
    <n v="14"/>
    <x v="6"/>
    <n v="0.5"/>
    <n v="10.82"/>
    <n v="131.5"/>
    <x v="5"/>
    <n v="21.5"/>
    <n v="10.32"/>
    <n v="221.88"/>
    <n v="0"/>
  </r>
  <r>
    <d v="2024-12-13T00:00:00"/>
    <s v="LIFT VAN"/>
    <n v="16"/>
    <x v="7"/>
    <n v="0.5"/>
    <n v="11.18"/>
    <n v="145.4"/>
    <x v="6"/>
    <n v="21.5"/>
    <n v="10.68"/>
    <n v="229.62"/>
    <n v="0"/>
  </r>
  <r>
    <d v="2024-12-13T00:00:00"/>
    <s v="LIFT VAN"/>
    <n v="13"/>
    <x v="8"/>
    <n v="0.5"/>
    <n v="10.17"/>
    <n v="125.9"/>
    <x v="7"/>
    <n v="21.5"/>
    <n v="9.67"/>
    <n v="207.905"/>
    <n v="0"/>
  </r>
  <r>
    <d v="2024-12-13T00:00:00"/>
    <s v="LIFT VAN"/>
    <n v="12"/>
    <x v="9"/>
    <n v="0.5"/>
    <n v="10.58"/>
    <n v="112.3"/>
    <x v="8"/>
    <n v="21.5"/>
    <n v="10.08"/>
    <n v="216.72"/>
    <n v="0"/>
  </r>
  <r>
    <d v="2024-12-13T00:00:00"/>
    <s v="LIFT VAN"/>
    <n v="10"/>
    <x v="10"/>
    <n v="0.5"/>
    <n v="10.029999999999999"/>
    <n v="121.5"/>
    <x v="9"/>
    <n v="21.5"/>
    <n v="9.5299999999999994"/>
    <n v="204.89500000000001"/>
    <n v="0"/>
  </r>
  <r>
    <d v="2024-12-13T00:00:00"/>
    <s v="LIFT VAN"/>
    <n v="0"/>
    <x v="11"/>
    <n v="0"/>
    <n v="0"/>
    <n v="0"/>
    <x v="10"/>
    <n v="21.5"/>
    <n v="0"/>
    <n v="0"/>
    <n v="0"/>
  </r>
  <r>
    <d v="2024-12-14T00:00:00"/>
    <m/>
    <n v="0"/>
    <x v="12"/>
    <n v="0"/>
    <n v="0"/>
    <n v="0"/>
    <x v="0"/>
    <m/>
    <n v="0"/>
    <m/>
    <n v="0"/>
  </r>
  <r>
    <d v="2024-12-14T00:00:00"/>
    <s v="LIFT VAN"/>
    <n v="11"/>
    <x v="11"/>
    <n v="0.5"/>
    <n v="9.75"/>
    <n v="127.2"/>
    <x v="10"/>
    <n v="21.5"/>
    <n v="9.25"/>
    <n v="198.875"/>
    <n v="0"/>
  </r>
  <r>
    <d v="2024-12-15T00:00:00"/>
    <s v="LIFT VAN"/>
    <n v="8"/>
    <x v="3"/>
    <n v="0"/>
    <n v="5.4"/>
    <n v="88.2"/>
    <x v="2"/>
    <n v="21.5"/>
    <n v="5.4"/>
    <n v="116.1"/>
    <n v="0"/>
  </r>
  <r>
    <d v="2024-12-15T00:00:00"/>
    <s v="LIFT VAN"/>
    <n v="11"/>
    <x v="11"/>
    <n v="0.5"/>
    <n v="10.62"/>
    <n v="105.9"/>
    <x v="10"/>
    <n v="21.5"/>
    <n v="10.119999999999999"/>
    <n v="217.5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F0A2F0-6D20-4BEA-9C54-0D2B60DF087E}" name="PivotTable5" cacheId="3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compactData="0" multipleFieldFilters="0">
  <location ref="A3:D12" firstHeaderRow="0" firstDataRow="1" firstDataCol="2"/>
  <pivotFields count="61"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1"/>
        <item x="3"/>
        <item x="0"/>
        <item m="1" x="6"/>
        <item x="2"/>
        <item m="1" x="5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8"/>
    <field x="0"/>
  </rowFields>
  <rowItems count="9">
    <i>
      <x/>
      <x/>
    </i>
    <i r="1">
      <x v="1"/>
    </i>
    <i>
      <x v="1"/>
      <x/>
    </i>
    <i r="1">
      <x v="1"/>
    </i>
    <i>
      <x v="2"/>
      <x/>
    </i>
    <i r="1">
      <x v="1"/>
    </i>
    <i>
      <x v="4"/>
      <x/>
    </i>
    <i>
      <x v="6"/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Online Hours" fld="2" baseField="0" baseItem="0"/>
    <dataField name="Sum of Payable Online Hour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54E3D8-2E80-4373-B6B7-025927C2AE1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7" firstHeaderRow="1" firstDataRow="1" firstDataCol="1"/>
  <pivotFields count="15">
    <pivotField axis="axisRow" numFmtId="14" showAll="0">
      <items count="97">
        <item m="1" x="84"/>
        <item m="1" x="85"/>
        <item m="1" x="86"/>
        <item m="1" x="87"/>
        <item m="1" x="88"/>
        <item m="1" x="94"/>
        <item m="1" x="89"/>
        <item m="1" x="90"/>
        <item m="1" x="91"/>
        <item m="1" x="92"/>
        <item m="1" x="95"/>
        <item m="1" x="93"/>
        <item m="1" x="71"/>
        <item m="1" x="72"/>
        <item m="1" x="73"/>
        <item m="1" x="74"/>
        <item m="1" x="75"/>
        <item m="1" x="82"/>
        <item m="1" x="81"/>
        <item m="1" x="76"/>
        <item m="1" x="77"/>
        <item m="1" x="78"/>
        <item m="1" x="79"/>
        <item m="1" x="80"/>
        <item m="1" x="83"/>
        <item m="1" x="58"/>
        <item m="1" x="59"/>
        <item m="1" x="60"/>
        <item m="1" x="61"/>
        <item m="1" x="62"/>
        <item m="1" x="68"/>
        <item m="1" x="63"/>
        <item m="1" x="64"/>
        <item m="1" x="65"/>
        <item m="1" x="66"/>
        <item m="1" x="67"/>
        <item m="1" x="70"/>
        <item m="1" x="69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23"/>
        <item m="1" x="24"/>
        <item m="1" x="25"/>
        <item m="1" x="26"/>
        <item m="1" x="27"/>
        <item m="1" x="33"/>
        <item m="1" x="34"/>
        <item m="1" x="28"/>
        <item m="1" x="29"/>
        <item m="1" x="30"/>
        <item m="1" x="31"/>
        <item m="1" x="32"/>
        <item m="1" x="35"/>
        <item m="1" x="13"/>
        <item m="1" x="14"/>
        <item m="1" x="15"/>
        <item m="1" x="16"/>
        <item m="1" x="17"/>
        <item m="1" x="22"/>
        <item m="1" x="18"/>
        <item m="1" x="19"/>
        <item m="1" x="20"/>
        <item m="1" x="21"/>
        <item x="0"/>
        <item x="1"/>
        <item x="2"/>
        <item x="3"/>
        <item x="4"/>
        <item x="10"/>
        <item x="5"/>
        <item x="6"/>
        <item x="7"/>
        <item x="8"/>
        <item x="9"/>
        <item x="12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0"/>
  </rowFields>
  <rowItems count="14"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 t="grand">
      <x/>
    </i>
  </rowItems>
  <colItems count="1">
    <i/>
  </colItems>
  <dataFields count="1">
    <dataField name="Sum of Cash Fares Collected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A5EFAC-6B29-4355-BD6D-E865A3CEB7D6}" name="PivotTable13" cacheId="1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W4:X16" firstHeaderRow="1" firstDataRow="1" firstDataCol="1"/>
  <pivotFields count="6">
    <pivotField axis="axisRow" numFmtId="14" showAll="0">
      <items count="86"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dataField="1" showAll="0"/>
    <pivotField showAll="0"/>
  </pivotFields>
  <rowFields count="1">
    <field x="0"/>
  </rowFields>
  <rowItems count="12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 t="grand">
      <x/>
    </i>
  </rowItems>
  <colItems count="1">
    <i/>
  </colItems>
  <dataFields count="1">
    <dataField name="Sum of Cash Fares Collected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07946D-5397-4DF7-B4C3-EB27F65923FF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17" firstHeaderRow="1" firstDataRow="1" firstDataCol="2"/>
  <pivotFields count="12">
    <pivotField compact="0" numFmtId="14" outline="0" showAll="0" defaultSubtotal="0"/>
    <pivotField compact="0" outline="0" showAll="0" defaultSubtotal="0"/>
    <pivotField dataField="1" compact="0" outline="0" showAll="0" defaultSubtotal="0"/>
    <pivotField name="MANIFEST " axis="axisRow" compact="0" outline="0" showAll="0" sortType="ascending" defaultSubtotal="0">
      <items count="31">
        <item m="1" x="22"/>
        <item m="1" x="20"/>
        <item m="1" x="14"/>
        <item m="1" x="30"/>
        <item m="1" x="28"/>
        <item m="1" x="26"/>
        <item m="1" x="24"/>
        <item m="1" x="21"/>
        <item m="1" x="17"/>
        <item m="1" x="13"/>
        <item m="1" x="29"/>
        <item m="1" x="27"/>
        <item m="1" x="25"/>
        <item m="1" x="15"/>
        <item m="1" x="16"/>
        <item m="1" x="18"/>
        <item m="1" x="19"/>
        <item m="1" x="23"/>
        <item x="5"/>
        <item x="8"/>
        <item x="2"/>
        <item x="7"/>
        <item x="3"/>
        <item x="9"/>
        <item x="1"/>
        <item x="11"/>
        <item x="0"/>
        <item x="4"/>
        <item x="6"/>
        <item x="12"/>
        <item x="10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64">
        <item m="1" x="59"/>
        <item m="1" x="53"/>
        <item m="1" x="56"/>
        <item m="1" x="51"/>
        <item m="1" x="61"/>
        <item x="0"/>
        <item m="1" x="60"/>
        <item m="1" x="62"/>
        <item m="1" x="57"/>
        <item m="1" x="63"/>
        <item m="1" x="52"/>
        <item m="1" x="15"/>
        <item m="1" x="54"/>
        <item m="1" x="44"/>
        <item m="1" x="48"/>
        <item m="1" x="47"/>
        <item m="1" x="58"/>
        <item m="1" x="32"/>
        <item m="1" x="26"/>
        <item m="1" x="55"/>
        <item m="1" x="38"/>
        <item m="1" x="46"/>
        <item m="1" x="50"/>
        <item m="1" x="49"/>
        <item m="1" x="45"/>
        <item m="1" x="42"/>
        <item m="1" x="41"/>
        <item m="1" x="39"/>
        <item m="1" x="40"/>
        <item m="1" x="35"/>
        <item x="4"/>
        <item x="6"/>
        <item m="1" x="43"/>
        <item m="1" x="37"/>
        <item x="2"/>
        <item m="1" x="23"/>
        <item x="7"/>
        <item m="1" x="34"/>
        <item m="1" x="36"/>
        <item m="1" x="31"/>
        <item m="1" x="24"/>
        <item m="1" x="27"/>
        <item m="1" x="30"/>
        <item m="1" x="28"/>
        <item m="1" x="29"/>
        <item m="1" x="33"/>
        <item m="1" x="11"/>
        <item m="1" x="25"/>
        <item m="1" x="22"/>
        <item x="1"/>
        <item m="1" x="14"/>
        <item m="1" x="18"/>
        <item m="1" x="16"/>
        <item m="1" x="21"/>
        <item m="1" x="20"/>
        <item m="1" x="17"/>
        <item m="1" x="19"/>
        <item m="1" x="13"/>
        <item x="5"/>
        <item m="1" x="12"/>
        <item x="10"/>
        <item x="3"/>
        <item x="8"/>
        <item x="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3"/>
    <field x="7"/>
  </rowFields>
  <rowItems count="14">
    <i>
      <x v="18"/>
      <x v="30"/>
    </i>
    <i>
      <x v="19"/>
      <x v="36"/>
    </i>
    <i>
      <x v="20"/>
      <x v="49"/>
    </i>
    <i>
      <x v="21"/>
      <x v="31"/>
    </i>
    <i>
      <x v="22"/>
      <x v="34"/>
    </i>
    <i>
      <x v="23"/>
      <x v="62"/>
    </i>
    <i>
      <x v="24"/>
      <x v="5"/>
    </i>
    <i>
      <x v="25"/>
      <x v="60"/>
    </i>
    <i>
      <x v="26"/>
      <x v="5"/>
    </i>
    <i>
      <x v="27"/>
      <x v="61"/>
    </i>
    <i>
      <x v="28"/>
      <x v="58"/>
    </i>
    <i>
      <x v="29"/>
      <x v="5"/>
    </i>
    <i>
      <x v="30"/>
      <x v="63"/>
    </i>
    <i t="grand">
      <x/>
    </i>
  </rowItems>
  <colItems count="1">
    <i/>
  </colItems>
  <dataFields count="1">
    <dataField name="Sum of Trips" fld="2" baseField="7" baseItem="36"/>
  </dataFields>
  <formats count="6">
    <format dxfId="11">
      <pivotArea dataOnly="0" labelOnly="1" outline="0" fieldPosition="0">
        <references count="1">
          <reference field="7" count="1">
            <x v="5"/>
          </reference>
        </references>
      </pivotArea>
    </format>
    <format dxfId="10">
      <pivotArea dataOnly="0" labelOnly="1" outline="0" fieldPosition="0">
        <references count="1">
          <reference field="7" count="1">
            <x v="5"/>
          </reference>
        </references>
      </pivotArea>
    </format>
    <format dxfId="9">
      <pivotArea field="3" type="button" dataOnly="0" labelOnly="1" outline="0" axis="axisRow" fieldPosition="0"/>
    </format>
    <format dxfId="8">
      <pivotArea dataOnly="0" labelOnly="1" outline="0" fieldPosition="0">
        <references count="1">
          <reference field="3" count="0"/>
        </references>
      </pivotArea>
    </format>
    <format dxfId="7">
      <pivotArea dataOnly="0" labelOnly="1" grandRow="1" outline="0" fieldPosition="0"/>
    </format>
    <format dxfId="6">
      <pivotArea dataOnly="0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8CF8E7-5E23-4939-8C0E-E72CAE2C7AC3}" name="PivotTable14" cacheId="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AA4:AB32" firstHeaderRow="1" firstDataRow="1" firstDataCol="1"/>
  <pivotFields count="15">
    <pivotField axis="axisRow" numFmtId="14" showAll="0">
      <items count="97">
        <item m="1" x="84"/>
        <item m="1" x="85"/>
        <item m="1" x="86"/>
        <item m="1" x="87"/>
        <item m="1" x="88"/>
        <item m="1" x="94"/>
        <item m="1" x="89"/>
        <item m="1" x="90"/>
        <item m="1" x="91"/>
        <item m="1" x="92"/>
        <item m="1" x="95"/>
        <item m="1" x="93"/>
        <item m="1" x="71"/>
        <item m="1" x="72"/>
        <item m="1" x="73"/>
        <item m="1" x="74"/>
        <item m="1" x="75"/>
        <item m="1" x="82"/>
        <item m="1" x="81"/>
        <item m="1" x="76"/>
        <item m="1" x="77"/>
        <item m="1" x="78"/>
        <item m="1" x="79"/>
        <item m="1" x="80"/>
        <item m="1" x="83"/>
        <item m="1" x="58"/>
        <item m="1" x="59"/>
        <item m="1" x="60"/>
        <item m="1" x="61"/>
        <item m="1" x="62"/>
        <item m="1" x="68"/>
        <item m="1" x="63"/>
        <item m="1" x="64"/>
        <item m="1" x="65"/>
        <item m="1" x="66"/>
        <item m="1" x="67"/>
        <item m="1" x="70"/>
        <item m="1" x="69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23"/>
        <item m="1" x="24"/>
        <item m="1" x="25"/>
        <item m="1" x="26"/>
        <item m="1" x="27"/>
        <item m="1" x="33"/>
        <item m="1" x="34"/>
        <item m="1" x="28"/>
        <item m="1" x="29"/>
        <item m="1" x="30"/>
        <item m="1" x="31"/>
        <item m="1" x="32"/>
        <item m="1" x="35"/>
        <item m="1" x="13"/>
        <item m="1" x="14"/>
        <item m="1" x="15"/>
        <item m="1" x="16"/>
        <item m="1" x="17"/>
        <item m="1" x="22"/>
        <item m="1" x="18"/>
        <item m="1" x="19"/>
        <item m="1" x="20"/>
        <item m="1" x="21"/>
        <item x="0"/>
        <item x="1"/>
        <item x="2"/>
        <item x="3"/>
        <item x="4"/>
        <item x="10"/>
        <item x="5"/>
        <item x="6"/>
        <item x="7"/>
        <item x="8"/>
        <item x="9"/>
        <item x="12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0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3">
    <field x="14"/>
    <field x="13"/>
    <field x="0"/>
  </rowFields>
  <rowItems count="28">
    <i>
      <x v="12"/>
    </i>
    <i r="1">
      <x v="336"/>
    </i>
    <i r="2">
      <x v="83"/>
    </i>
    <i r="1">
      <x v="337"/>
    </i>
    <i r="2">
      <x v="84"/>
    </i>
    <i r="1">
      <x v="338"/>
    </i>
    <i r="2">
      <x v="85"/>
    </i>
    <i r="1">
      <x v="339"/>
    </i>
    <i r="2">
      <x v="86"/>
    </i>
    <i r="1">
      <x v="340"/>
    </i>
    <i r="2">
      <x v="87"/>
    </i>
    <i r="1">
      <x v="342"/>
    </i>
    <i r="2">
      <x v="88"/>
    </i>
    <i r="1">
      <x v="343"/>
    </i>
    <i r="2">
      <x v="89"/>
    </i>
    <i r="1">
      <x v="344"/>
    </i>
    <i r="2">
      <x v="90"/>
    </i>
    <i r="1">
      <x v="345"/>
    </i>
    <i r="2">
      <x v="91"/>
    </i>
    <i r="1">
      <x v="346"/>
    </i>
    <i r="2">
      <x v="92"/>
    </i>
    <i r="1">
      <x v="347"/>
    </i>
    <i r="2">
      <x v="93"/>
    </i>
    <i r="1">
      <x v="348"/>
    </i>
    <i r="2">
      <x v="94"/>
    </i>
    <i r="1">
      <x v="349"/>
    </i>
    <i r="2">
      <x v="95"/>
    </i>
    <i t="grand">
      <x/>
    </i>
  </rowItems>
  <colItems count="1">
    <i/>
  </colItems>
  <dataFields count="1">
    <dataField name="Sum of Cash Fares Collected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08C9E6-B9D9-4D76-8441-8AE12F5F469F}" name="PivotTable10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R3:S3" firstHeaderRow="1" firstDataRow="1" firstDataCol="2"/>
  <pivotFields count="6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0"/>
        <item m="1" x="18"/>
        <item x="8"/>
        <item x="3"/>
        <item m="1" x="12"/>
        <item m="1" x="15"/>
        <item x="9"/>
        <item m="1" x="20"/>
        <item m="1" x="13"/>
        <item x="6"/>
        <item x="4"/>
        <item m="1" x="16"/>
        <item m="1" x="19"/>
        <item m="1" x="14"/>
        <item m="1" x="11"/>
        <item x="5"/>
        <item m="1" x="17"/>
        <item x="7"/>
        <item m="1" x="1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h="1" x="8"/>
        <item h="1" x="9"/>
        <item h="1" m="1" x="13"/>
        <item h="1" x="0"/>
        <item h="1" m="1" x="16"/>
        <item h="1" m="1" x="14"/>
        <item h="1" x="6"/>
        <item h="1" m="1" x="15"/>
        <item h="1" x="3"/>
        <item h="1" m="1" x="12"/>
        <item h="1" m="1" x="17"/>
        <item h="1" m="1" x="18"/>
        <item m="1" x="10"/>
        <item h="1" m="1" x="11"/>
        <item h="1" x="4"/>
        <item h="1" x="7"/>
        <item h="1" x="5"/>
        <item h="1" x="2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3"/>
  </rowField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9FB953-C08E-4E6F-91CE-1AB7EA19AD9A}" name="PivotTable9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3:N4" firstHeaderRow="1" firstDataRow="1" firstDataCol="1"/>
  <pivotFields count="15">
    <pivotField numFmtId="14" showAll="0">
      <items count="97">
        <item m="1" x="84"/>
        <item m="1" x="85"/>
        <item m="1" x="86"/>
        <item m="1" x="87"/>
        <item m="1" x="88"/>
        <item m="1" x="94"/>
        <item m="1" x="89"/>
        <item m="1" x="90"/>
        <item m="1" x="91"/>
        <item m="1" x="92"/>
        <item m="1" x="95"/>
        <item m="1" x="93"/>
        <item m="1" x="71"/>
        <item m="1" x="72"/>
        <item m="1" x="73"/>
        <item m="1" x="74"/>
        <item m="1" x="75"/>
        <item m="1" x="82"/>
        <item m="1" x="81"/>
        <item m="1" x="76"/>
        <item m="1" x="77"/>
        <item m="1" x="78"/>
        <item m="1" x="79"/>
        <item m="1" x="80"/>
        <item m="1" x="83"/>
        <item m="1" x="58"/>
        <item m="1" x="59"/>
        <item m="1" x="60"/>
        <item m="1" x="61"/>
        <item m="1" x="62"/>
        <item m="1" x="68"/>
        <item m="1" x="63"/>
        <item m="1" x="64"/>
        <item m="1" x="65"/>
        <item m="1" x="66"/>
        <item m="1" x="67"/>
        <item m="1" x="70"/>
        <item m="1" x="69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23"/>
        <item m="1" x="24"/>
        <item m="1" x="25"/>
        <item m="1" x="26"/>
        <item m="1" x="27"/>
        <item m="1" x="33"/>
        <item m="1" x="34"/>
        <item m="1" x="28"/>
        <item m="1" x="29"/>
        <item m="1" x="30"/>
        <item m="1" x="31"/>
        <item m="1" x="32"/>
        <item m="1" x="35"/>
        <item m="1" x="13"/>
        <item m="1" x="14"/>
        <item m="1" x="15"/>
        <item m="1" x="16"/>
        <item m="1" x="17"/>
        <item m="1" x="22"/>
        <item m="1" x="18"/>
        <item m="1" x="19"/>
        <item m="1" x="20"/>
        <item m="1" x="21"/>
        <item x="0"/>
        <item x="1"/>
        <item x="2"/>
        <item x="3"/>
        <item x="4"/>
        <item x="10"/>
        <item x="5"/>
        <item x="6"/>
        <item x="7"/>
        <item x="8"/>
        <item x="9"/>
        <item x="12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51">
        <item h="1" m="1" x="45"/>
        <item h="1" m="1" x="26"/>
        <item h="1" x="2"/>
        <item h="1" x="4"/>
        <item h="1" m="1" x="15"/>
        <item h="1" m="1" x="38"/>
        <item h="1" m="1" x="35"/>
        <item h="1" m="1" x="25"/>
        <item h="1" m="1" x="42"/>
        <item h="1" x="0"/>
        <item h="1" m="1" x="39"/>
        <item h="1" m="1" x="17"/>
        <item h="1" m="1" x="40"/>
        <item h="1" m="1" x="48"/>
        <item h="1" m="1" x="23"/>
        <item h="1" m="1" x="14"/>
        <item h="1" m="1" x="47"/>
        <item h="1" m="1" x="46"/>
        <item h="1" m="1" x="31"/>
        <item h="1" x="3"/>
        <item h="1" m="1" x="43"/>
        <item h="1" m="1" x="16"/>
        <item h="1" m="1" x="20"/>
        <item h="1" x="1"/>
        <item h="1" m="1" x="34"/>
        <item h="1" m="1" x="32"/>
        <item h="1" m="1" x="10"/>
        <item h="1" m="1" x="41"/>
        <item h="1" m="1" x="21"/>
        <item h="1" m="1" x="18"/>
        <item h="1" m="1" x="44"/>
        <item h="1" m="1" x="19"/>
        <item h="1" m="1" x="22"/>
        <item h="1" m="1" x="37"/>
        <item h="1" m="1" x="27"/>
        <item h="1" m="1" x="30"/>
        <item h="1" m="1" x="24"/>
        <item h="1" m="1" x="49"/>
        <item h="1" m="1" x="28"/>
        <item h="1" m="1" x="29"/>
        <item h="1" m="1" x="36"/>
        <item h="1" m="1" x="33"/>
        <item m="1" x="12"/>
        <item h="1" m="1" x="11"/>
        <item h="1" m="1" x="13"/>
        <item h="1" x="8"/>
        <item h="1" x="6"/>
        <item h="1" x="5"/>
        <item h="1" x="7"/>
        <item h="1" x="9"/>
        <item t="default"/>
      </items>
    </pivotField>
    <pivotField showAll="0"/>
    <pivotField showAll="0"/>
    <pivotField showAll="0"/>
    <pivotField showAll="0"/>
    <pivotField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0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8"/>
  </rowFields>
  <rowItems count="1"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6C2268-70C3-46A3-96F7-503916C81F96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I3:J13" firstHeaderRow="1" firstDataRow="1" firstDataCol="2"/>
  <pivotFields count="15">
    <pivotField compact="0" numFmtId="14" outline="0" showAll="0" defaultSubtotal="0">
      <items count="96">
        <item m="1" x="84"/>
        <item m="1" x="85"/>
        <item m="1" x="86"/>
        <item m="1" x="87"/>
        <item m="1" x="88"/>
        <item m="1" x="94"/>
        <item m="1" x="89"/>
        <item m="1" x="90"/>
        <item m="1" x="91"/>
        <item m="1" x="92"/>
        <item m="1" x="95"/>
        <item m="1" x="93"/>
        <item m="1" x="71"/>
        <item m="1" x="72"/>
        <item m="1" x="73"/>
        <item m="1" x="74"/>
        <item m="1" x="75"/>
        <item m="1" x="82"/>
        <item m="1" x="81"/>
        <item m="1" x="76"/>
        <item m="1" x="77"/>
        <item m="1" x="78"/>
        <item m="1" x="79"/>
        <item m="1" x="80"/>
        <item m="1" x="83"/>
        <item m="1" x="58"/>
        <item m="1" x="59"/>
        <item m="1" x="60"/>
        <item m="1" x="61"/>
        <item m="1" x="62"/>
        <item m="1" x="68"/>
        <item m="1" x="63"/>
        <item m="1" x="64"/>
        <item m="1" x="65"/>
        <item m="1" x="66"/>
        <item m="1" x="67"/>
        <item m="1" x="70"/>
        <item m="1" x="69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23"/>
        <item m="1" x="24"/>
        <item m="1" x="25"/>
        <item m="1" x="26"/>
        <item m="1" x="27"/>
        <item m="1" x="33"/>
        <item m="1" x="34"/>
        <item m="1" x="28"/>
        <item m="1" x="29"/>
        <item m="1" x="30"/>
        <item m="1" x="31"/>
        <item m="1" x="32"/>
        <item m="1" x="35"/>
        <item m="1" x="13"/>
        <item m="1" x="14"/>
        <item m="1" x="15"/>
        <item m="1" x="16"/>
        <item m="1" x="17"/>
        <item m="1" x="22"/>
        <item m="1" x="18"/>
        <item m="1" x="19"/>
        <item m="1" x="20"/>
        <item m="1" x="21"/>
        <item x="0"/>
        <item x="1"/>
        <item x="2"/>
        <item x="3"/>
        <item x="4"/>
        <item x="10"/>
        <item x="5"/>
        <item x="6"/>
        <item x="7"/>
        <item x="8"/>
        <item x="9"/>
        <item x="12"/>
        <item x="1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0">
        <item m="1" x="45"/>
        <item m="1" x="26"/>
        <item m="1" x="15"/>
        <item m="1" x="38"/>
        <item m="1" x="42"/>
        <item m="1" x="48"/>
        <item m="1" x="47"/>
        <item m="1" x="46"/>
        <item m="1" x="32"/>
        <item m="1" x="41"/>
        <item m="1" x="44"/>
        <item m="1" x="49"/>
        <item m="1" x="39"/>
        <item m="1" x="40"/>
        <item m="1" x="35"/>
        <item x="0"/>
        <item x="3"/>
        <item m="1" x="43"/>
        <item m="1" x="37"/>
        <item x="4"/>
        <item m="1" x="23"/>
        <item x="1"/>
        <item m="1" x="34"/>
        <item m="1" x="12"/>
        <item m="1" x="36"/>
        <item m="1" x="31"/>
        <item m="1" x="24"/>
        <item m="1" x="27"/>
        <item m="1" x="30"/>
        <item m="1" x="28"/>
        <item m="1" x="29"/>
        <item m="1" x="33"/>
        <item m="1" x="10"/>
        <item m="1" x="25"/>
        <item m="1" x="22"/>
        <item x="2"/>
        <item m="1" x="14"/>
        <item m="1" x="19"/>
        <item m="1" x="17"/>
        <item m="1" x="20"/>
        <item m="1" x="21"/>
        <item m="1" x="18"/>
        <item m="1" x="16"/>
        <item m="1" x="11"/>
        <item m="1" x="13"/>
        <item x="8"/>
        <item x="6"/>
        <item x="5"/>
        <item x="7"/>
        <item x="9"/>
      </items>
    </pivotField>
    <pivotField axis="axisRow" compact="0" outline="0" showAll="0" defaultSubtotal="0">
      <items count="4">
        <item m="1" x="1"/>
        <item x="0"/>
        <item m="1" x="2"/>
        <item m="1" x="3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0"/>
      </items>
    </pivotField>
    <pivotField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8"/>
    <field x="9"/>
  </rowFields>
  <rowItems count="10">
    <i>
      <x v="15"/>
      <x v="1"/>
    </i>
    <i>
      <x v="16"/>
      <x v="1"/>
    </i>
    <i>
      <x v="19"/>
      <x v="1"/>
    </i>
    <i>
      <x v="21"/>
      <x v="1"/>
    </i>
    <i>
      <x v="35"/>
      <x v="1"/>
    </i>
    <i>
      <x v="45"/>
      <x v="1"/>
    </i>
    <i>
      <x v="46"/>
      <x v="1"/>
    </i>
    <i>
      <x v="47"/>
      <x v="1"/>
    </i>
    <i>
      <x v="48"/>
      <x v="1"/>
    </i>
    <i>
      <x v="49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AD9F66-E671-425F-A064-6FA7565B8820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E6:AF11" firstHeaderRow="1" firstDataRow="1" firstDataCol="1" rowPageCount="1" colPageCount="1"/>
  <pivotFields count="8">
    <pivotField numFmtId="14" showAll="0"/>
    <pivotField axis="axisRow" showAll="0">
      <items count="9">
        <item x="1"/>
        <item x="0"/>
        <item x="2"/>
        <item m="1" x="7"/>
        <item m="1" x="6"/>
        <item m="1" x="5"/>
        <item x="3"/>
        <item m="1" x="4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2">
        <item x="0"/>
        <item t="default"/>
      </items>
    </pivotField>
  </pivotFields>
  <rowFields count="1">
    <field x="1"/>
  </rowFields>
  <rowItems count="5">
    <i>
      <x/>
    </i>
    <i>
      <x v="1"/>
    </i>
    <i>
      <x v="2"/>
    </i>
    <i>
      <x v="6"/>
    </i>
    <i t="grand">
      <x/>
    </i>
  </rowItems>
  <colItems count="1">
    <i/>
  </colItems>
  <pageFields count="1"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F914EBD-0398-4F12-828E-5A48C92F3216}" autoFormatId="16" applyNumberFormats="0" applyBorderFormats="0" applyFontFormats="0" applyPatternFormats="0" applyAlignmentFormats="0" applyWidthHeightFormats="0">
  <queryTableRefresh nextId="8">
    <queryTableFields count="7">
      <queryTableField id="1" name="PARTNER NAME" tableColumnId="1"/>
      <queryTableField id="2" name="OPERATOR NAME" tableColumnId="2"/>
      <queryTableField id="3" name="CLIENT TYPE" tableColumnId="3"/>
      <queryTableField id="4" name="VEHICLE TYPE" tableColumnId="4"/>
      <queryTableField id="5" name="EMAIL" tableColumnId="5"/>
      <queryTableField id="6" name="FILE #" tableColumnId="6"/>
      <queryTableField id="7" name="CLIENT TYPE - Copy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6" xr16:uid="{4D08C513-2677-4BC8-AFB8-67472D970698}" autoFormatId="16" applyNumberFormats="0" applyBorderFormats="0" applyFontFormats="0" applyPatternFormats="0" applyAlignmentFormats="0" applyWidthHeightFormats="0">
  <queryTableRefresh nextId="79">
    <queryTableFields count="61">
      <queryTableField id="1" name="WeekN" tableColumnId="1"/>
      <queryTableField id="2" name="Allowable Hours" tableColumnId="2"/>
      <queryTableField id="3" name="Online Hours" tableColumnId="3"/>
      <queryTableField id="4" name="Payable Online Hours" tableColumnId="4"/>
      <queryTableField id="5" name="% of Hours to Required" tableColumnId="5"/>
      <queryTableField id="6" name="Core Hours Rev" tableColumnId="6"/>
      <queryTableField id="7" name="CHI Tier 1 Rev" tableColumnId="7"/>
      <queryTableField id="8" name="CHI Tier 2 Rev" tableColumnId="8"/>
      <queryTableField id="9" name="CHI Tier 3 Rev" tableColumnId="9"/>
      <queryTableField id="10" name="Acceptance Rate" tableColumnId="10"/>
      <queryTableField id="11" name="Cancellation Rate" tableColumnId="11"/>
      <queryTableField id="12" name="Tier 1 ARDCRI KPI Rev" tableColumnId="12"/>
      <queryTableField id="13" name="Tier 2 ARDCRI KPI Rev" tableColumnId="13"/>
      <queryTableField id="15" name="Utilization%" tableColumnId="15"/>
      <queryTableField id="16" name="Utilization Rev" tableColumnId="16"/>
      <queryTableField id="17" name="Driver Tips" tableColumnId="17"/>
      <queryTableField id="76" name="Tolls" tableColumnId="61"/>
      <queryTableField id="18" name="CHI Non-KPI" tableColumnId="18"/>
      <queryTableField id="19" name="Total Rev" tableColumnId="19"/>
      <queryTableField id="20" name="Required" tableColumnId="20"/>
      <queryTableField id="21" name="CHI Rev" tableColumnId="21"/>
      <queryTableField id="22" name="Tier 1 ARDCRI KPI" tableColumnId="22"/>
      <queryTableField id="23" name="Tier 2 ARDCRI KPI" tableColumnId="23"/>
      <queryTableField id="74" name="Total Expired Offers" tableColumnId="60"/>
      <queryTableField id="24" name="Total ARDCRI KPI Rev" tableColumnId="24"/>
      <queryTableField id="25" name="Approved Extra Hours" tableColumnId="25"/>
      <queryTableField id="26" name="Payable Bonus Hours" tableColumnId="26"/>
      <queryTableField id="27" name="Week" tableColumnId="27"/>
      <queryTableField id="28" name="PARTNER NAME" tableColumnId="28"/>
      <queryTableField id="14" name="Bonus Hours Rev" tableColumnId="14"/>
      <queryTableField id="29" name="Total Comp Trips" tableColumnId="29"/>
      <queryTableField id="30" name="Total Supply Hours" tableColumnId="30"/>
      <queryTableField id="31" name="Paused Hours" tableColumnId="31"/>
      <queryTableField id="32" name="WAV Trips" tableColumnId="32"/>
      <queryTableField id="33" name="Non WAV Trips" tableColumnId="33"/>
      <queryTableField id="34" name="Utilized Hours" tableColumnId="34"/>
      <queryTableField id="35" name="Open Hours" tableColumnId="35"/>
      <queryTableField id="36" name="Core Total Supply Hours" tableColumnId="36"/>
      <queryTableField id="37" name="Core Utilized Hours" tableColumnId="37"/>
      <queryTableField id="38" name="Trips Per Hours" tableColumnId="38"/>
      <queryTableField id="39" name="Total Accepts" tableColumnId="39"/>
      <queryTableField id="40" name="Total Rejects" tableColumnId="40"/>
      <queryTableField id="41" name="Total Cancels" tableColumnId="41"/>
      <queryTableField id="42" name="KPI Hours" tableColumnId="42"/>
      <queryTableField id="43" name="Tier 1 ARDCRI Rate" tableColumnId="43"/>
      <queryTableField id="44" name="Tier 2 ARDCRI Rate" tableColumnId="44"/>
      <queryTableField id="45" name="Utilization Target" tableColumnId="45"/>
      <queryTableField id="46" name="Rate" tableColumnId="46"/>
      <queryTableField id="47" name="Bonus Rate" tableColumnId="47"/>
      <queryTableField id="48" name="Core Rate" tableColumnId="48"/>
      <queryTableField id="49" name="CHI Tier 1" tableColumnId="49"/>
      <queryTableField id="50" name="CHI Tier 2" tableColumnId="50"/>
      <queryTableField id="51" name="CHI Tier 3" tableColumnId="51"/>
      <queryTableField id="52" name="CHI Tier 1 Rate" tableColumnId="52"/>
      <queryTableField id="53" name="CHI Tier 2 Rate" tableColumnId="53"/>
      <queryTableField id="54" name="CHI Tier 3 Rate" tableColumnId="54"/>
      <queryTableField id="55" name="Utilization Incentive Rate" tableColumnId="55"/>
      <queryTableField id="56" name="Normal Hours" tableColumnId="56"/>
      <queryTableField id="57" name="Bonus Hours" tableColumnId="57"/>
      <queryTableField id="58" name="ARDCRI Non KPI" tableColumnId="58"/>
      <queryTableField id="59" name="Driver Earnings Excl Tips" tableColumnId="5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3" xr16:uid="{7CBEEA52-0440-4F17-9CF6-6959837F4EFD}" autoFormatId="16" applyNumberFormats="0" applyBorderFormats="0" applyFontFormats="0" applyPatternFormats="0" applyAlignmentFormats="0" applyWidthHeightFormats="0">
  <queryTableRefresh nextId="38">
    <queryTableFields count="34">
      <queryTableField id="1" name="Week" tableColumnId="1"/>
      <queryTableField id="2" name="First_Name" tableColumnId="2"/>
      <queryTableField id="3" name="Last_Name" tableColumnId="3"/>
      <queryTableField id="4" name="Total Comp Trips" tableColumnId="4"/>
      <queryTableField id="5" name="Acceptance Rate" tableColumnId="5"/>
      <queryTableField id="6" name="Cancellation Rate" tableColumnId="6"/>
      <queryTableField id="7" name="Total Supply Hours" tableColumnId="7"/>
      <queryTableField id="8" name="Paused Hours" tableColumnId="8"/>
      <queryTableField id="9" name="Online Hours" tableColumnId="9"/>
      <queryTableField id="10" name="Driver_Earnings_Excl_Tips" tableColumnId="10"/>
      <queryTableField id="11" name="Driver_Tips" tableColumnId="11"/>
      <queryTableField id="35" name="Tolls" tableColumnId="34"/>
      <queryTableField id="12" name="Driver_UUID" tableColumnId="12"/>
      <queryTableField id="13" name="WAV Trips" tableColumnId="13"/>
      <queryTableField id="14" name="Non WAV Trips" tableColumnId="14"/>
      <queryTableField id="15" name="Utilized Hours" tableColumnId="15"/>
      <queryTableField id="33" name="Total_Expired_Offers" tableColumnId="33"/>
      <queryTableField id="16" name="Open Hours" tableColumnId="16"/>
      <queryTableField id="17" name="Core Hours_Total Supply Hours" tableColumnId="17"/>
      <queryTableField id="18" name="Core Hours_Utilized Hours" tableColumnId="18"/>
      <queryTableField id="19" name="Trips per Hour" tableColumnId="19"/>
      <queryTableField id="20" name="Total_Accepts" tableColumnId="20"/>
      <queryTableField id="21" name="Total_Rejects" tableColumnId="21"/>
      <queryTableField id="22" name="Total_Cancels" tableColumnId="22"/>
      <queryTableField id="23" name="Tier 1 ARDCRI" tableColumnId="23"/>
      <queryTableField id="24" name="Tier 2 ARDCRI" tableColumnId="24"/>
      <queryTableField id="25" name="Non KPI" tableColumnId="25"/>
      <queryTableField id="26" name="WeekN" tableColumnId="26"/>
      <queryTableField id="27" name="Tier 1 ARDCRI Rate" tableColumnId="27"/>
      <queryTableField id="28" name="Tier 2 ARDCRI Rate" tableColumnId="28"/>
      <queryTableField id="29" name="KPI Hours" tableColumnId="29"/>
      <queryTableField id="30" name="Operators Name" tableColumnId="30"/>
      <queryTableField id="31" name="PARTNER NAME" tableColumnId="31"/>
      <queryTableField id="32" name="Utilization Target" tableColumnId="3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2038C279-11BD-43D0-A82B-480CD737F348}" autoFormatId="16" applyNumberFormats="0" applyBorderFormats="0" applyFontFormats="0" applyPatternFormats="0" applyAlignmentFormats="0" applyWidthHeightFormats="0">
  <queryTableRefresh nextId="9">
    <queryTableFields count="6">
      <queryTableField id="1" name="Ride Date" tableColumnId="1"/>
      <queryTableField id="2" name="Route" tableColumnId="2"/>
      <queryTableField id="3" name="Fare Type" tableColumnId="3"/>
      <queryTableField id="4" name="Operator Name" tableColumnId="4"/>
      <queryTableField id="5" name="Cash Fares Collected" tableColumnId="5"/>
      <queryTableField id="8" name="DIV10PartnerList.PARTNER NAM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2D43B576-2300-43FE-9585-4BA7AC4C2B78}" autoFormatId="16" applyNumberFormats="0" applyBorderFormats="0" applyFontFormats="0" applyPatternFormats="0" applyAlignmentFormats="0" applyWidthHeightFormats="0">
  <queryTableRefresh nextId="65">
    <queryTableFields count="13">
      <queryTableField id="27" name="Date" tableColumnId="27"/>
      <queryTableField id="42" name="VEHICLE TYPE" tableColumnId="23"/>
      <queryTableField id="7" name="Trips" tableColumnId="7"/>
      <queryTableField id="31" name="Manifest" tableColumnId="1"/>
      <queryTableField id="16" name="Lunch" tableColumnId="16"/>
      <queryTableField id="34" name="Hours" tableColumnId="11"/>
      <queryTableField id="38" name="Revenue Hours Operated" tableColumnId="20"/>
      <queryTableField id="35" name="Miles" tableColumnId="19"/>
      <queryTableField id="40" name="PARTNER NAME" tableColumnId="21"/>
      <queryTableField id="61" name="Trip Base Rate" tableColumnId="3"/>
      <queryTableField id="56" name="TTL Rev" tableColumnId="25"/>
      <queryTableField id="58" name="Cash Fares Collected" tableColumnId="2"/>
      <queryTableField id="64" name="OPERATOR NAME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4BBFA749-AE28-46F6-B849-11290DBB28C3}" autoFormatId="16" applyNumberFormats="0" applyBorderFormats="0" applyFontFormats="0" applyPatternFormats="0" applyAlignmentFormats="0" applyWidthHeightFormats="0">
  <queryTableRefresh nextId="12">
    <queryTableFields count="11">
      <queryTableField id="1" name="PARTNER" tableColumnId="1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7" name="Other Income " tableColumnId="7"/>
      <queryTableField id="8" name="Bonus" tableColumnId="8"/>
      <queryTableField id="9" name="Reimbursement " tableColumnId="9"/>
      <queryTableField id="10" name="Other Deduction" tableColumnId="10"/>
      <queryTableField id="11" name="Type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CD3DA8A-97C3-48D1-9E43-B4AE584452E7}" autoFormatId="16" applyNumberFormats="0" applyBorderFormats="0" applyFontFormats="0" applyPatternFormats="0" applyAlignmentFormats="0" applyWidthHeightFormats="0">
  <queryTableRefresh nextId="4">
    <queryTableFields count="3">
      <queryTableField id="1" name="PARTNER NAME" tableColumnId="1"/>
      <queryTableField id="2" name="FILE #" tableColumnId="2"/>
      <queryTableField id="3" name="EMAIL" tableColumnId="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1A58CCAD-C526-438B-BE81-0AD9843754CE}" autoFormatId="16" applyNumberFormats="0" applyBorderFormats="0" applyFontFormats="0" applyPatternFormats="0" applyAlignmentFormats="0" applyWidthHeightFormats="0">
  <queryTableRefresh nextId="11">
    <queryTableFields count="10">
      <queryTableField id="1" name="PARTNER NAME" tableColumnId="1"/>
      <queryTableField id="2" name="OPERATOR NAME" tableColumnId="2"/>
      <queryTableField id="3" name="Manifest" tableColumnId="3"/>
      <queryTableField id="4" name="CLIENT TYPE" tableColumnId="4"/>
      <queryTableField id="5" name="PARTNER ABRIVATION" tableColumnId="5"/>
      <queryTableField id="6" name="RUNS COVERED" tableColumnId="6"/>
      <queryTableField id="7" name="VEHICLE TYPE" tableColumnId="7"/>
      <queryTableField id="8" name="EMAIL" tableColumnId="8"/>
      <queryTableField id="9" name="FILE #" tableColumnId="9"/>
      <queryTableField id="10" name="CLIENT TYPE - Copy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1" xr16:uid="{974605F6-0E73-4460-818F-C44643A79073}" autoFormatId="16" applyNumberFormats="0" applyBorderFormats="0" applyFontFormats="0" applyPatternFormats="0" applyAlignmentFormats="0" applyWidthHeightFormats="0">
  <queryTableRefresh nextId="13">
    <queryTableFields count="12">
      <queryTableField id="1" name="Date" tableColumnId="1"/>
      <queryTableField id="2" name="VEHICLE TYPE" tableColumnId="2"/>
      <queryTableField id="3" name="Trips" tableColumnId="3"/>
      <queryTableField id="4" name="Manifest" tableColumnId="4"/>
      <queryTableField id="5" name="Lunch" tableColumnId="5"/>
      <queryTableField id="6" name="Hours" tableColumnId="6"/>
      <queryTableField id="7" name="Miles" tableColumnId="7"/>
      <queryTableField id="8" name="PARTNER NAME" tableColumnId="8"/>
      <queryTableField id="9" name="Hourly Base Rate" tableColumnId="9"/>
      <queryTableField id="10" name="Revenue Hours Operated" tableColumnId="10"/>
      <queryTableField id="11" name="TTL Rev" tableColumnId="11"/>
      <queryTableField id="12" name="Cash Fares Collected" tableColumnId="1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8" xr16:uid="{A77BF371-B17B-4DC1-B133-8AE8565DFDA6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E320830B-79BB-444E-8DFF-4C29AB0A9D37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User" tableColumnId="2"/>
      <queryTableField id="3" name="Amount" tableColumnId="3"/>
      <queryTableField id="4" name="Gallons" tableColumnId="4"/>
      <queryTableField id="5" name="Cost Per Gallon" tableColumnId="5"/>
      <queryTableField id="6" name="Computed Amount" tableColumnId="6"/>
      <queryTableField id="7" name="Diff" tableColumnId="7"/>
      <queryTableField id="8" name="PARTNER NAME" tableColumnId="8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F2225B23-80DA-4A2E-8429-C8901FD1BF01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User" tableColumnId="2"/>
      <queryTableField id="3" name="Amount" tableColumnId="3"/>
      <queryTableField id="4" name="Gallons" tableColumnId="4"/>
      <queryTableField id="5" name="Cost Per Gallon" tableColumnId="5"/>
      <queryTableField id="6" name="Computed Amount" tableColumnId="6"/>
      <queryTableField id="7" name="Diff" tableColumnId="7"/>
      <queryTableField id="8" name="PARTNER NAME" tableColumnId="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9" xr16:uid="{7BE72442-8D29-4143-A281-556357DB09AD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PARTNER NAME" tableColumnId="2"/>
      <queryTableField id="3" name="OPERATOR NAME" tableColumnId="3"/>
      <queryTableField id="4" name="Manifest" tableColumnId="4"/>
      <queryTableField id="5" name="Total Miles" tableColumnId="5"/>
      <queryTableField id="6" name="Fuel Rate" tableColumnId="6"/>
      <queryTableField id="7" name="Calculated Gallons (@19MilesPerGallon)" tableColumnId="7"/>
      <queryTableField id="8" name="Calculated Fuel Cost" tableColumnId="8"/>
      <queryTableField id="9" name="Week#" tableColumnId="9"/>
    </queryTableFields>
  </queryTableRefresh>
</queryTable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fb t="e">#NAME?</fb>
    <v>4</v>
    <v>1</v>
  </rv>
  <rv s="1">
    <fb t="e">#NAME?</fb>
    <v>4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D41E2A-20BA-4022-A94C-EE11455B563F}" name="SignBonus" displayName="SignBonus" ref="A1:F3" totalsRowShown="0">
  <autoFilter ref="A1:F3" xr:uid="{03D41E2A-20BA-4022-A94C-EE11455B563F}"/>
  <tableColumns count="6">
    <tableColumn id="1" xr3:uid="{01B3E988-1FFC-4156-AB00-D78DA52F3576}" name="Operator"/>
    <tableColumn id="2" xr3:uid="{70462312-A063-4050-BDE1-94DCDF2CEF0D}" name="Date" dataDxfId="43"/>
    <tableColumn id="3" xr3:uid="{40FABB48-9038-445A-906E-E734308E517B}" name="Amount"/>
    <tableColumn id="4" xr3:uid="{F6729F76-9C8B-4D4D-9DD1-C4D8D95CE487}" name="Payment"/>
    <tableColumn id="5" xr3:uid="{8D4F1734-058D-4740-B829-9FC811647728}" name="Start Date" dataDxfId="42"/>
    <tableColumn id="6" xr3:uid="{E45324AC-19AA-42E8-90A8-322466A7E615}" name="SortKey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532FD7-1742-451C-82C9-214CA9B59B9D}" name="Table1" displayName="Table1" ref="A1:D3" totalsRowShown="0" headerRowDxfId="41" dataDxfId="40">
  <tableColumns count="4">
    <tableColumn id="1" xr3:uid="{65D91CD2-3C54-4C7C-B045-23E3B2F97FF9}" name="Week#" dataDxfId="39"/>
    <tableColumn id="2" xr3:uid="{5BA60E69-1019-4464-B0DD-BB7593E6EB87}" name="Start Date" dataDxfId="38"/>
    <tableColumn id="3" xr3:uid="{70E6C480-07D9-4FA0-9B37-E827515C7123}" name="End Date" dataDxfId="37"/>
    <tableColumn id="4" xr3:uid="{348E0BB4-8CE5-4F99-940E-0CDD9ADA275C}" name="Fare Rate" dataDxfId="3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D3B0F79-8DB5-469D-9A33-E9592B69BABD}" name="Table9" displayName="Table9" ref="A10:F12" totalsRowShown="0" headerRowDxfId="35" tableBorderDxfId="34">
  <autoFilter ref="A10:F12" xr:uid="{0D3B0F79-8DB5-469D-9A33-E9592B69BABD}"/>
  <tableColumns count="6">
    <tableColumn id="1" xr3:uid="{B4A0C383-C3F2-4289-B7CA-97EAE9349B85}" name="Week#" dataDxfId="33"/>
    <tableColumn id="2" xr3:uid="{B46BF04D-8CCF-4A2A-9036-4DB33BEC23C3}" name="Start Date"/>
    <tableColumn id="3" xr3:uid="{B37B7E48-EE8D-4742-B72B-59AD6FA2ECEE}" name="End Date" dataDxfId="32"/>
    <tableColumn id="4" xr3:uid="{1AB4FAF4-3A4A-49C8-BF7A-F7331376F165}" name="Utilization Target" dataDxfId="31" dataCellStyle="Percent"/>
    <tableColumn id="5" xr3:uid="{97C0D190-D492-45A3-8720-91D7706EC5E2}" name="Tier 1 ARDCRI Rate" dataDxfId="30" dataCellStyle="Percent"/>
    <tableColumn id="6" xr3:uid="{3D22D4BF-F4D1-4E40-95E7-622EF54D0E3B}" name="Tier 2 ARDCRI Rate" dataDxfId="29" dataCellStyle="Percent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2C0C04C-EA89-4FDB-8D77-13B4756758D3}" name="Div10PartnerListUber" displayName="Div10PartnerListUber" ref="A1:G8" tableType="queryTable" totalsRowShown="0">
  <autoFilter ref="A1:G8" xr:uid="{C2C0C04C-EA89-4FDB-8D77-13B4756758D3}"/>
  <tableColumns count="7">
    <tableColumn id="1" xr3:uid="{989A8939-273D-497B-9BD7-84B3461DEE26}" uniqueName="1" name="PARTNER NAME" queryTableFieldId="1" dataDxfId="28"/>
    <tableColumn id="2" xr3:uid="{3285CB39-62E9-48B2-8652-994586D31FD1}" uniqueName="2" name="OPERATOR NAME" queryTableFieldId="2" dataDxfId="27"/>
    <tableColumn id="3" xr3:uid="{257F3514-E992-4E7D-8A69-76A582CD6374}" uniqueName="3" name="CLIENT TYPE" queryTableFieldId="3" dataDxfId="26"/>
    <tableColumn id="4" xr3:uid="{A22EC115-0365-4896-BA44-5F46750FA42F}" uniqueName="4" name="VEHICLE TYPE" queryTableFieldId="4" dataDxfId="25"/>
    <tableColumn id="5" xr3:uid="{05FAA200-15AA-40B4-A4FA-CD0289298183}" uniqueName="5" name="EMAIL" queryTableFieldId="5" dataDxfId="24"/>
    <tableColumn id="6" xr3:uid="{A8DDBACF-D2D9-4018-8344-79F85F392E17}" uniqueName="6" name="FILE #" queryTableFieldId="6"/>
    <tableColumn id="7" xr3:uid="{97D0C30F-8936-48C8-8A56-6157E836A67E}" uniqueName="7" name="CLIENT TYPE - Copy" queryTableFieldId="7" dataDxfId="2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F5E16F4-2494-4EF2-AF98-D33EE2E4AE47}" name="SumUberReport" displayName="SumUberReport" ref="A1:BI9" tableType="queryTable" totalsRowShown="0">
  <autoFilter ref="A1:BI9" xr:uid="{8F5E16F4-2494-4EF2-AF98-D33EE2E4AE47}"/>
  <tableColumns count="61">
    <tableColumn id="1" xr3:uid="{F1E0C6B5-45ED-4CC9-9445-ED8F6646C755}" uniqueName="1" name="WeekN" queryTableFieldId="1"/>
    <tableColumn id="2" xr3:uid="{4A96446B-48D2-41ED-BA74-FFA668B63878}" uniqueName="2" name="Allowable Hours" queryTableFieldId="2"/>
    <tableColumn id="3" xr3:uid="{6C9EA5AA-5166-4134-8498-235954A0B566}" uniqueName="3" name="Online Hours" queryTableFieldId="3"/>
    <tableColumn id="4" xr3:uid="{A41CA6E1-7DA7-438F-B9B1-C45B9A434546}" uniqueName="4" name="Payable Online Hours" queryTableFieldId="4"/>
    <tableColumn id="5" xr3:uid="{F6526D4A-6B88-49EA-BFEF-EBBA45B47328}" uniqueName="5" name="% of Hours to Required" queryTableFieldId="5"/>
    <tableColumn id="6" xr3:uid="{EBF08FCF-7C54-4CE9-849E-BF784325699B}" uniqueName="6" name="Core Hours Rev" queryTableFieldId="6"/>
    <tableColumn id="7" xr3:uid="{05EB38E5-4743-455D-9998-B8ABA0ADD1C1}" uniqueName="7" name="CHI Tier 1 Rev" queryTableFieldId="7"/>
    <tableColumn id="8" xr3:uid="{EC8087A2-0A23-42AB-BC75-3A46F7D46C04}" uniqueName="8" name="CHI Tier 2 Rev" queryTableFieldId="8"/>
    <tableColumn id="9" xr3:uid="{818F097C-2741-4AF4-8658-68C29F06373D}" uniqueName="9" name="CHI Tier 3 Rev" queryTableFieldId="9"/>
    <tableColumn id="10" xr3:uid="{E5952F9B-D22F-4AAB-8190-707D86EAD515}" uniqueName="10" name="Acceptance Rate" queryTableFieldId="10"/>
    <tableColumn id="11" xr3:uid="{0468C504-242A-485C-BAB4-883511EAABB1}" uniqueName="11" name="Cancellation Rate" queryTableFieldId="11"/>
    <tableColumn id="12" xr3:uid="{CFCF626B-EA84-4537-8301-A94CBFB4281B}" uniqueName="12" name="Tier 1 ARDCRI KPI Rev" queryTableFieldId="12"/>
    <tableColumn id="13" xr3:uid="{1A0224D8-58DF-4577-B5F2-E484DFC2B40D}" uniqueName="13" name="Tier 2 ARDCRI KPI Rev" queryTableFieldId="13"/>
    <tableColumn id="15" xr3:uid="{53ED6F19-6B28-42A3-943A-748DAF6AE0B5}" uniqueName="15" name="Utilization%" queryTableFieldId="15"/>
    <tableColumn id="16" xr3:uid="{1D4277B0-586A-4B7B-8305-580FE72D2DA8}" uniqueName="16" name="Utilization Rev" queryTableFieldId="16"/>
    <tableColumn id="17" xr3:uid="{5689A13A-1DEE-4C9D-BEF7-FC5BEFFCD735}" uniqueName="17" name="Driver Tips" queryTableFieldId="17"/>
    <tableColumn id="61" xr3:uid="{BD7253AA-1044-452D-870A-CEBA0806D6E2}" uniqueName="61" name="Tolls" queryTableFieldId="76"/>
    <tableColumn id="18" xr3:uid="{C1B46FDE-1D87-4951-9AE4-0F16686A7429}" uniqueName="18" name="CHI Non-KPI" queryTableFieldId="18"/>
    <tableColumn id="19" xr3:uid="{BDFDD4F7-1183-4E1F-90D5-43050F924377}" uniqueName="19" name="Total Rev" queryTableFieldId="19"/>
    <tableColumn id="20" xr3:uid="{5250512C-E349-4890-9569-380F3BA4AB43}" uniqueName="20" name="Required" queryTableFieldId="20"/>
    <tableColumn id="21" xr3:uid="{C656CFE5-4920-4CC5-A042-66FA49976999}" uniqueName="21" name="CHI Rev" queryTableFieldId="21"/>
    <tableColumn id="22" xr3:uid="{C1130691-3404-4F14-BEE7-904901C007D4}" uniqueName="22" name="Tier 1 ARDCRI KPI" queryTableFieldId="22"/>
    <tableColumn id="23" xr3:uid="{F833DECE-A4DC-4B88-A7BC-1AE221CD8AC3}" uniqueName="23" name="Tier 2 ARDCRI KPI" queryTableFieldId="23"/>
    <tableColumn id="60" xr3:uid="{FA2F688B-0DA5-4738-982E-546AA6DE1F9F}" uniqueName="60" name="Total Expired Offers" queryTableFieldId="74"/>
    <tableColumn id="24" xr3:uid="{0932D4A7-B508-4D23-B29B-8E7D74AE6E79}" uniqueName="24" name="Total ARDCRI KPI Rev" queryTableFieldId="24"/>
    <tableColumn id="25" xr3:uid="{A4AA850E-05FC-4E59-9E3B-27C60C2D3AAB}" uniqueName="25" name="Approved Extra Hours" queryTableFieldId="25"/>
    <tableColumn id="26" xr3:uid="{38493A28-B2E7-47C9-898C-11A2C848E836}" uniqueName="26" name="Payable Bonus Hours" queryTableFieldId="26"/>
    <tableColumn id="27" xr3:uid="{7FFF5FD5-8BA9-4D37-B074-DB392CD16E4C}" uniqueName="27" name="Week" queryTableFieldId="27" dataDxfId="22"/>
    <tableColumn id="28" xr3:uid="{50B281AF-AD0F-47B1-9062-2A63D35BC950}" uniqueName="28" name="PARTNER NAME" queryTableFieldId="28"/>
    <tableColumn id="14" xr3:uid="{BBEEE248-A200-415D-833D-5B07DA3179C8}" uniqueName="14" name="Bonus Hours Rev" queryTableFieldId="14"/>
    <tableColumn id="29" xr3:uid="{9FDB2EC0-4A1A-470B-8C61-DBF0D42435C4}" uniqueName="29" name="Total Comp Trips" queryTableFieldId="29"/>
    <tableColumn id="30" xr3:uid="{5A0CF19B-E5D1-4941-B3A9-0407BBB29126}" uniqueName="30" name="Total Supply Hours" queryTableFieldId="30"/>
    <tableColumn id="31" xr3:uid="{0E226E67-64BA-4170-9190-AE7074345CCE}" uniqueName="31" name="Paused Hours" queryTableFieldId="31"/>
    <tableColumn id="32" xr3:uid="{004CB080-3B05-45B3-BE2F-48889004EB47}" uniqueName="32" name="WAV Trips" queryTableFieldId="32"/>
    <tableColumn id="33" xr3:uid="{9D2CCC76-E347-4DA8-9357-CC3EA300E99E}" uniqueName="33" name="Non WAV Trips" queryTableFieldId="33"/>
    <tableColumn id="34" xr3:uid="{E588CCBA-C24F-421A-B2C6-7CDF4989227F}" uniqueName="34" name="Utilized Hours" queryTableFieldId="34"/>
    <tableColumn id="35" xr3:uid="{C6270484-26C3-433B-ACF6-E2CDD2FE3B21}" uniqueName="35" name="Open Hours" queryTableFieldId="35"/>
    <tableColumn id="36" xr3:uid="{E8E61226-88BE-480D-8D04-F280CFFECBD8}" uniqueName="36" name="Core Total Supply Hours" queryTableFieldId="36"/>
    <tableColumn id="37" xr3:uid="{A22BD909-F79F-4A94-B472-EE0D0435648F}" uniqueName="37" name="Core Utilized Hours" queryTableFieldId="37"/>
    <tableColumn id="38" xr3:uid="{2FF9C011-A381-4F99-B652-BAF739345EE0}" uniqueName="38" name="Trips Per Hours" queryTableFieldId="38"/>
    <tableColumn id="39" xr3:uid="{A2D787AE-36F3-4322-B988-AA740BB9DD6A}" uniqueName="39" name="Total Accepts" queryTableFieldId="39"/>
    <tableColumn id="40" xr3:uid="{90D4F415-7822-49C2-9ED6-EB558AD2215A}" uniqueName="40" name="Total Rejects" queryTableFieldId="40"/>
    <tableColumn id="41" xr3:uid="{D809F0F2-1E46-45DC-9BFD-9D3A55E4A677}" uniqueName="41" name="Total Cancels" queryTableFieldId="41"/>
    <tableColumn id="42" xr3:uid="{669B5795-807B-406A-9448-C2041B48E177}" uniqueName="42" name="KPI Hours" queryTableFieldId="42"/>
    <tableColumn id="43" xr3:uid="{C831F960-45AE-45D2-BB95-5DE61E043881}" uniqueName="43" name="Tier 1 ARDCRI Rate" queryTableFieldId="43"/>
    <tableColumn id="44" xr3:uid="{17241B30-A2E8-4CD0-BFBB-D879C353CD39}" uniqueName="44" name="Tier 2 ARDCRI Rate" queryTableFieldId="44"/>
    <tableColumn id="45" xr3:uid="{47378A4F-BDCE-45D5-A609-C90263660DFE}" uniqueName="45" name="Utilization Target" queryTableFieldId="45"/>
    <tableColumn id="46" xr3:uid="{AD25F342-D120-4617-A127-FC4F9018B0F0}" uniqueName="46" name="Rate" queryTableFieldId="46"/>
    <tableColumn id="47" xr3:uid="{BC856105-85F1-4F65-B587-5B3BB3C18BC2}" uniqueName="47" name="Bonus Rate" queryTableFieldId="47"/>
    <tableColumn id="48" xr3:uid="{0F25C77D-19CE-4E0A-9364-5967BF382233}" uniqueName="48" name="Core Rate" queryTableFieldId="48"/>
    <tableColumn id="49" xr3:uid="{1EE04E82-212F-4F64-BB77-5C989A9D987E}" uniqueName="49" name="CHI Tier 1" queryTableFieldId="49"/>
    <tableColumn id="50" xr3:uid="{4F532BF6-85C8-40C4-9B4F-1A1E278086F7}" uniqueName="50" name="CHI Tier 2" queryTableFieldId="50"/>
    <tableColumn id="51" xr3:uid="{65275CB9-2155-4CA6-A6C0-8D4453929672}" uniqueName="51" name="CHI Tier 3" queryTableFieldId="51"/>
    <tableColumn id="52" xr3:uid="{34A0731A-426B-402A-A88A-03EA86125A03}" uniqueName="52" name="CHI Tier 1 Rate" queryTableFieldId="52"/>
    <tableColumn id="53" xr3:uid="{59A32B69-1340-49FA-8CC6-4CC46C891607}" uniqueName="53" name="CHI Tier 2 Rate" queryTableFieldId="53"/>
    <tableColumn id="54" xr3:uid="{B9EE7EF8-9B12-4FD6-BCA5-4FB82852C6FF}" uniqueName="54" name="CHI Tier 3 Rate" queryTableFieldId="54"/>
    <tableColumn id="55" xr3:uid="{8BCDBB3B-C223-4C67-A32C-B14BF8A40583}" uniqueName="55" name="Utilization Incentive Rate" queryTableFieldId="55"/>
    <tableColumn id="56" xr3:uid="{08EB9589-B1A0-4740-84D1-3C04FD1588D7}" uniqueName="56" name="Normal Hours" queryTableFieldId="56"/>
    <tableColumn id="57" xr3:uid="{4321F096-4F72-471F-9FCD-EEF8B148C639}" uniqueName="57" name="Bonus Hours" queryTableFieldId="57"/>
    <tableColumn id="58" xr3:uid="{44DFC573-302E-4EF8-BBD0-F42823ED58A6}" uniqueName="58" name="ARDCRI Non KPI" queryTableFieldId="58"/>
    <tableColumn id="59" xr3:uid="{6E4F1CD7-E7E6-4B30-BCDD-D2CD59F7B43C}" uniqueName="59" name="Driver Earnings Excl Tips" queryTableFieldId="5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6103799-55D7-4BFC-B73F-69B0E3A7A320}" name="UberReport" displayName="UberReport" ref="A1:AH9" tableType="queryTable" totalsRowShown="0">
  <autoFilter ref="A1:AH9" xr:uid="{96103799-55D7-4BFC-B73F-69B0E3A7A320}">
    <filterColumn colId="32">
      <filters blank="1"/>
    </filterColumn>
  </autoFilter>
  <tableColumns count="34">
    <tableColumn id="1" xr3:uid="{043CBB64-4590-4714-99A2-A07BE944247F}" uniqueName="1" name="Week" queryTableFieldId="1" dataDxfId="21"/>
    <tableColumn id="2" xr3:uid="{9B324F22-5927-4C00-8662-57B8439B992D}" uniqueName="2" name="First_Name" queryTableFieldId="2"/>
    <tableColumn id="3" xr3:uid="{79619F67-EAF5-4EF3-8049-2F1A1E512B00}" uniqueName="3" name="Last_Name" queryTableFieldId="3"/>
    <tableColumn id="4" xr3:uid="{D9671A69-0D95-44D0-8384-7EBF06C89A04}" uniqueName="4" name="Total Comp Trips" queryTableFieldId="4"/>
    <tableColumn id="5" xr3:uid="{E210094D-E436-49A1-91C0-9551B3AF2599}" uniqueName="5" name="Acceptance Rate" queryTableFieldId="5"/>
    <tableColumn id="6" xr3:uid="{1E91EB96-7306-425C-8B97-D1E0A2B8C799}" uniqueName="6" name="Cancellation Rate" queryTableFieldId="6"/>
    <tableColumn id="7" xr3:uid="{D07C3D2B-F1AE-4457-B1D6-CDFBC4C3DADB}" uniqueName="7" name="Total Supply Hours" queryTableFieldId="7"/>
    <tableColumn id="8" xr3:uid="{9B6B12CF-B0B1-4342-98F2-94C8043C3F4E}" uniqueName="8" name="Paused Hours" queryTableFieldId="8"/>
    <tableColumn id="9" xr3:uid="{B5E1414E-8539-4D47-A1AD-0E6D4736BD3C}" uniqueName="9" name="Online Hours" queryTableFieldId="9"/>
    <tableColumn id="10" xr3:uid="{E5633A87-59EE-4E00-9346-4F4856B74D3F}" uniqueName="10" name="Driver_Earnings_Excl_Tips" queryTableFieldId="10"/>
    <tableColumn id="11" xr3:uid="{102D53F5-D3B6-4CFD-A975-90DB29EE140F}" uniqueName="11" name="Driver_Tips" queryTableFieldId="11"/>
    <tableColumn id="34" xr3:uid="{77A59CA9-0C81-48E7-9125-B19F77BA8C8F}" uniqueName="34" name="Tolls" queryTableFieldId="35"/>
    <tableColumn id="12" xr3:uid="{263DFB2D-E827-43AF-8068-0BE1B1EF320F}" uniqueName="12" name="Driver_UUID" queryTableFieldId="12"/>
    <tableColumn id="13" xr3:uid="{4877E7CA-7579-47B8-A6F7-C87F1609A9CA}" uniqueName="13" name="WAV Trips" queryTableFieldId="13"/>
    <tableColumn id="14" xr3:uid="{15AFA37B-4D18-4179-8E5C-36F79A8258C6}" uniqueName="14" name="Non WAV Trips" queryTableFieldId="14"/>
    <tableColumn id="15" xr3:uid="{447C4538-D21C-42A5-8AA2-D2A462F99244}" uniqueName="15" name="Utilized Hours" queryTableFieldId="15"/>
    <tableColumn id="33" xr3:uid="{9A738FE2-0228-4572-A641-36321C3E6E45}" uniqueName="33" name="Total_Expired_Offers" queryTableFieldId="33"/>
    <tableColumn id="16" xr3:uid="{FDF03E5A-3F31-44A2-9107-A6987AFBB0A1}" uniqueName="16" name="Open Hours" queryTableFieldId="16"/>
    <tableColumn id="17" xr3:uid="{BFE35A0D-7595-4C99-A7BA-35DD1E554697}" uniqueName="17" name="Core Hours_Total Supply Hours" queryTableFieldId="17"/>
    <tableColumn id="18" xr3:uid="{E7490A9E-4690-416D-BDEE-586FC61899B8}" uniqueName="18" name="Core Hours_Utilized Hours" queryTableFieldId="18"/>
    <tableColumn id="19" xr3:uid="{2BB3B1C6-A5A3-4AAB-9FFE-26027ED0A60F}" uniqueName="19" name="Trips per Hour" queryTableFieldId="19"/>
    <tableColumn id="20" xr3:uid="{D8FBB381-1B15-424B-967F-787E3C1247B7}" uniqueName="20" name="Total_Accepts" queryTableFieldId="20"/>
    <tableColumn id="21" xr3:uid="{5F71AE97-3B58-4142-98C8-281E8142FA08}" uniqueName="21" name="Total_Rejects" queryTableFieldId="21"/>
    <tableColumn id="22" xr3:uid="{BE45FD04-D420-4C02-8537-375C08D4ACD0}" uniqueName="22" name="Total_Cancels" queryTableFieldId="22"/>
    <tableColumn id="23" xr3:uid="{C2B57870-F685-4132-983C-87E0A7CF2F36}" uniqueName="23" name="Tier 1 ARDCRI" queryTableFieldId="23"/>
    <tableColumn id="24" xr3:uid="{1C96EDA1-64E3-45BE-8837-B4F458EF5527}" uniqueName="24" name="Tier 2 ARDCRI" queryTableFieldId="24"/>
    <tableColumn id="25" xr3:uid="{BF46403C-4B19-4CD9-9525-472A3509514A}" uniqueName="25" name="Non KPI" queryTableFieldId="25"/>
    <tableColumn id="26" xr3:uid="{039BBAF9-6B30-4A87-830C-C3170855063F}" uniqueName="26" name="WeekN" queryTableFieldId="26"/>
    <tableColumn id="27" xr3:uid="{A78AA282-1F75-4234-8E44-813208904F8B}" uniqueName="27" name="Tier 1 ARDCRI Rate" queryTableFieldId="27"/>
    <tableColumn id="28" xr3:uid="{5951189D-7529-45C3-BF31-8D741F3DE0BD}" uniqueName="28" name="Tier 2 ARDCRI Rate" queryTableFieldId="28"/>
    <tableColumn id="29" xr3:uid="{921D172F-8103-45E3-98EB-DF7F76377548}" uniqueName="29" name="KPI Hours" queryTableFieldId="29"/>
    <tableColumn id="30" xr3:uid="{80279B6F-0E6A-45BA-8D20-6AA587108A6D}" uniqueName="30" name="Operators Name" queryTableFieldId="30"/>
    <tableColumn id="31" xr3:uid="{DF0C26C0-5FE3-4E0C-8011-4DB9507ACAC1}" uniqueName="31" name="PARTNER NAME" queryTableFieldId="31"/>
    <tableColumn id="32" xr3:uid="{1AC01CDC-5B9A-41FF-B125-EAB3335C3370}" uniqueName="32" name="Utilization Target" queryTableFieldId="3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2C7E80-6831-40A1-8A27-5CB48FB20E5A}" name="JasperReport" displayName="JasperReport" ref="A1:F62" tableType="queryTable" totalsRowShown="0">
  <autoFilter ref="A1:F62" xr:uid="{112C7E80-6831-40A1-8A27-5CB48FB20E5A}"/>
  <tableColumns count="6">
    <tableColumn id="1" xr3:uid="{613E80BC-64ED-4114-8232-D1CB13FE8476}" uniqueName="1" name="Ride Date" queryTableFieldId="1" dataDxfId="20"/>
    <tableColumn id="2" xr3:uid="{EA41233B-D119-4C23-A4A2-4BB256127E41}" uniqueName="2" name="Route" queryTableFieldId="2"/>
    <tableColumn id="3" xr3:uid="{F62B13D1-1A61-463B-90AB-2E83D6BFA520}" uniqueName="3" name="Fare Type" queryTableFieldId="3"/>
    <tableColumn id="4" xr3:uid="{FEE332B5-8E7D-4241-966F-08A29BBEDF96}" uniqueName="4" name="Operator Name" queryTableFieldId="4"/>
    <tableColumn id="5" xr3:uid="{81D9F3A9-0AF7-49E2-BBED-67E2E88C1785}" uniqueName="5" name="Cash Fares Collected" queryTableFieldId="5"/>
    <tableColumn id="6" xr3:uid="{B08AA717-B3CE-4111-892A-8CAD715B32B6}" uniqueName="6" name="DIV10PartnerList.PARTNER NAME" queryTableFieldId="8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891105-8580-4EFA-A9B2-0A71E64FF9DF}" name="TrapezeReport" displayName="TrapezeReport" ref="A1:M106" tableType="queryTable" totalsRowShown="0">
  <autoFilter ref="A1:M106" xr:uid="{DF891105-8580-4EFA-A9B2-0A71E64FF9DF}"/>
  <sortState xmlns:xlrd2="http://schemas.microsoft.com/office/spreadsheetml/2017/richdata2" ref="A2:M106">
    <sortCondition ref="D1:D106"/>
  </sortState>
  <tableColumns count="13">
    <tableColumn id="27" xr3:uid="{7B8BE6CB-9406-485D-82FD-BEB592FC755F}" uniqueName="27" name="Date" queryTableFieldId="27" dataDxfId="19"/>
    <tableColumn id="23" xr3:uid="{28E272A4-598A-4597-8659-35BAE0563C6F}" uniqueName="23" name="VEHICLE TYPE" queryTableFieldId="42"/>
    <tableColumn id="7" xr3:uid="{10FF3A6B-C955-481C-9BED-1D8094640087}" uniqueName="7" name="Trips" queryTableFieldId="7"/>
    <tableColumn id="1" xr3:uid="{7F8ECF46-83CD-4E55-9CAA-0D274A4D5234}" uniqueName="1" name="Manifest" queryTableFieldId="31"/>
    <tableColumn id="16" xr3:uid="{BE6D4493-69AC-46CD-AC5C-43481F39E35B}" uniqueName="16" name="Lunch" queryTableFieldId="16"/>
    <tableColumn id="11" xr3:uid="{B2D2C87F-8397-4140-88FD-F39EDEB2DDC2}" uniqueName="11" name="Hours" queryTableFieldId="34"/>
    <tableColumn id="20" xr3:uid="{3AEC60B7-92C7-48DF-98C7-BF68C81045D8}" uniqueName="20" name="Revenue Hours Operated" queryTableFieldId="38"/>
    <tableColumn id="19" xr3:uid="{E45DD390-49CB-4FCA-8A7E-4603645155E9}" uniqueName="19" name="Miles" queryTableFieldId="35"/>
    <tableColumn id="21" xr3:uid="{90662E28-1058-437C-8408-EC7399E0B1A1}" uniqueName="21" name="PARTNER NAME" queryTableFieldId="40"/>
    <tableColumn id="3" xr3:uid="{A9D231ED-3C2D-451B-843D-88E4D6223845}" uniqueName="3" name="Trip Base Rate" queryTableFieldId="61"/>
    <tableColumn id="25" xr3:uid="{5D9B4869-C455-49CA-857E-B75841E0BD0C}" uniqueName="25" name="TTL Rev" queryTableFieldId="56"/>
    <tableColumn id="2" xr3:uid="{1D9AD2C6-9F23-4602-AA1D-0324EBC09B7B}" uniqueName="2" name="Cash Fares Collected" queryTableFieldId="58"/>
    <tableColumn id="4" xr3:uid="{69CDE357-9984-47ED-8079-137ADE354132}" uniqueName="4" name="OPERATOR NAME" queryTableFieldId="64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49AC03-59FE-4C4F-AAAB-0D7195BA348F}" name="Deductions" displayName="Deductions" ref="A1:K17" tableType="queryTable" totalsRowShown="0">
  <autoFilter ref="A1:K17" xr:uid="{6349AC03-59FE-4C4F-AAAB-0D7195BA348F}">
    <filterColumn colId="10">
      <filters>
        <filter val="TRANSDEV"/>
      </filters>
    </filterColumn>
  </autoFilter>
  <tableColumns count="11">
    <tableColumn id="1" xr3:uid="{79174C3E-9CD5-4233-A870-F9EAA4878224}" uniqueName="1" name="PARTNER" queryTableFieldId="1" dataDxfId="18"/>
    <tableColumn id="2" xr3:uid="{0A4F9818-97F8-4C2B-945F-398AEF4E926D}" uniqueName="2" name=" Lift Lease Rate" queryTableFieldId="2"/>
    <tableColumn id="3" xr3:uid="{034BE39E-90FC-4229-9D59-55D7DB214BFE}" uniqueName="3" name="Lift Lease " queryTableFieldId="3"/>
    <tableColumn id="4" xr3:uid="{3D7E8230-FDB7-4DC7-A0D7-A0C9E1801A75}" uniqueName="4" name="LIFT LEASE TOTAL" queryTableFieldId="4"/>
    <tableColumn id="5" xr3:uid="{CE78BC9F-7DB6-4FE9-8BFA-CDE4F8D2AFF1}" uniqueName="5" name="Credentials" queryTableFieldId="5"/>
    <tableColumn id="6" xr3:uid="{F5815927-830B-4B6F-900C-6E17EB3B31C8}" uniqueName="6" name="Violation" queryTableFieldId="6"/>
    <tableColumn id="7" xr3:uid="{DC89FC71-B5EE-4213-B619-236076107B8C}" uniqueName="7" name="Other Income " queryTableFieldId="7"/>
    <tableColumn id="8" xr3:uid="{F7210033-01AA-42D9-B601-05FF40094FF3}" uniqueName="8" name="Bonus" queryTableFieldId="8"/>
    <tableColumn id="9" xr3:uid="{32F72A38-8B06-4E30-BF78-D3B06E7BE831}" uniqueName="9" name="Reimbursement " queryTableFieldId="9"/>
    <tableColumn id="10" xr3:uid="{DBA71DF5-E8C0-49E9-9FFC-27989564C7C5}" uniqueName="10" name="Other Deduction" queryTableFieldId="10"/>
    <tableColumn id="11" xr3:uid="{7856535B-4D34-416B-94FC-3DD33D2A3791}" uniqueName="11" name="Type" queryTableFieldId="11" dataDxfId="1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4BFB0C0-E691-4E1B-A876-EC2C5FF9070E}" name="Div10PartnerDetails" displayName="Div10PartnerDetails" ref="A1:C11" tableType="queryTable" totalsRowShown="0">
  <autoFilter ref="A1:C11" xr:uid="{84BFB0C0-E691-4E1B-A876-EC2C5FF9070E}"/>
  <tableColumns count="3">
    <tableColumn id="1" xr3:uid="{AC73DB01-A92B-4978-B609-6405DE7987C8}" uniqueName="1" name="PARTNER NAME" queryTableFieldId="1" dataDxfId="16"/>
    <tableColumn id="2" xr3:uid="{FE7788F1-C30C-46C3-AC32-F27A8D259531}" uniqueName="2" name="FILE #" queryTableFieldId="2"/>
    <tableColumn id="3" xr3:uid="{64E2F0E1-6028-4DB7-AF66-2AE100644E1C}" uniqueName="3" name="EMAIL" queryTableFieldId="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7B0DCF-6C03-478D-B822-0262B16C9A12}" name="DIV10PartnerList" displayName="DIV10PartnerList" ref="A1:J18" tableType="queryTable" totalsRowShown="0">
  <autoFilter ref="A1:J18" xr:uid="{B47B0DCF-6C03-478D-B822-0262B16C9A12}"/>
  <tableColumns count="10">
    <tableColumn id="1" xr3:uid="{283B4613-AB9D-490F-9DB6-4687DFD36739}" uniqueName="1" name="PARTNER NAME" queryTableFieldId="1" dataDxfId="15"/>
    <tableColumn id="2" xr3:uid="{436E0483-7D11-4A0D-9EAF-D7597E762978}" uniqueName="2" name="OPERATOR NAME" queryTableFieldId="2" dataDxfId="14"/>
    <tableColumn id="3" xr3:uid="{26F50C83-3867-4709-B6BD-1307B777611E}" uniqueName="3" name="Manifest" queryTableFieldId="3" dataDxfId="13"/>
    <tableColumn id="4" xr3:uid="{9F907293-C3F4-4D0C-B721-A86D074FA856}" uniqueName="4" name="CLIENT TYPE" queryTableFieldId="4"/>
    <tableColumn id="5" xr3:uid="{8A8A7008-324F-4FA5-8483-B549034D6314}" uniqueName="5" name="PARTNER ABRIVATION" queryTableFieldId="5"/>
    <tableColumn id="6" xr3:uid="{1670DD18-F50A-4A14-B816-B00B0461FDB5}" uniqueName="6" name="RUNS COVERED" queryTableFieldId="6"/>
    <tableColumn id="7" xr3:uid="{F2504710-DBAA-4221-9C50-C216EF915FEF}" uniqueName="7" name="VEHICLE TYPE" queryTableFieldId="7"/>
    <tableColumn id="8" xr3:uid="{6C30DC43-188C-4D54-BCEE-241FB4C09566}" uniqueName="8" name="EMAIL" queryTableFieldId="8"/>
    <tableColumn id="9" xr3:uid="{CA6C41F3-DA4E-456D-A25E-50D434BD6C95}" uniqueName="9" name="FILE #" queryTableFieldId="9"/>
    <tableColumn id="10" xr3:uid="{4DF6A75D-D65F-439A-9FC1-0F87845C58FB}" uniqueName="10" name="CLIENT TYPE - Copy" queryTableFieldId="10" dataDxfId="1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67C222-5C0E-4551-A519-2D379EC4D4F4}" name="TrapezeReportChecks" displayName="TrapezeReportChecks" ref="A1:L136" tableType="queryTable" totalsRowShown="0">
  <autoFilter ref="A1:L136" xr:uid="{2D67C222-5C0E-4551-A519-2D379EC4D4F4}"/>
  <tableColumns count="12">
    <tableColumn id="1" xr3:uid="{2EDB3452-696D-4391-898D-36997F2711C1}" uniqueName="1" name="Date" queryTableFieldId="1" dataDxfId="5"/>
    <tableColumn id="2" xr3:uid="{CA193DC3-DBE5-46CA-A517-EE5CD41DBF1E}" uniqueName="2" name="VEHICLE TYPE" queryTableFieldId="2"/>
    <tableColumn id="3" xr3:uid="{BAB6FE41-63B5-422B-B004-7C5F18CF336F}" uniqueName="3" name="Trips" queryTableFieldId="3"/>
    <tableColumn id="4" xr3:uid="{D2DAAAA6-79B2-4B6C-9BBC-6C57CAB5989B}" uniqueName="4" name="Manifest" queryTableFieldId="4"/>
    <tableColumn id="5" xr3:uid="{D224370B-1478-4E27-8DC0-6F5E9238EC3E}" uniqueName="5" name="Lunch" queryTableFieldId="5"/>
    <tableColumn id="6" xr3:uid="{DB2AA3E3-8036-4257-811C-E9E7B3283EB1}" uniqueName="6" name="Hours" queryTableFieldId="6"/>
    <tableColumn id="7" xr3:uid="{DE385D40-3898-4671-819E-D4B72EDA25E8}" uniqueName="7" name="Miles" queryTableFieldId="7"/>
    <tableColumn id="8" xr3:uid="{0BE74528-9F0A-4D59-B929-D24E3449C824}" uniqueName="8" name="PARTNER NAME" queryTableFieldId="8"/>
    <tableColumn id="9" xr3:uid="{63BF50CD-3451-4BCF-82C6-0AF49D867C08}" uniqueName="9" name="Hourly Base Rate" queryTableFieldId="9"/>
    <tableColumn id="10" xr3:uid="{AF8CC31B-1D00-450D-8B0C-CB1448AA6950}" uniqueName="10" name="Revenue Hours Operated" queryTableFieldId="10"/>
    <tableColumn id="11" xr3:uid="{B16866CC-1FD1-482E-BB36-9FC9DFD9F094}" uniqueName="11" name="TTL Rev" queryTableFieldId="11"/>
    <tableColumn id="12" xr3:uid="{6CC6885C-9184-431E-8892-2BF4C95C0F25}" uniqueName="12" name="Cash Fares Collected" queryTableFieldId="1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84BEEF8-428C-4C81-A8EE-538414CF4073}" name="TollsChecks" displayName="TollsChecks" ref="A1:G2" tableType="queryTable" insertRow="1" totalsRowShown="0">
  <autoFilter ref="A1:G2" xr:uid="{784BEEF8-428C-4C81-A8EE-538414CF4073}"/>
  <tableColumns count="7">
    <tableColumn id="1" xr3:uid="{DBAF0A6D-C1DD-48BD-A847-48E3E17BA01D}" uniqueName="1" name="StartDate" queryTableFieldId="1" dataDxfId="4"/>
    <tableColumn id="2" xr3:uid="{DC3692F7-A025-458F-BAF1-37FF09EB3960}" uniqueName="2" name="EndDate" queryTableFieldId="2" dataDxfId="3"/>
    <tableColumn id="3" xr3:uid="{83B9B2D8-D8B0-4089-9905-A9DBFBA9957E}" uniqueName="3" name="Driver Name" queryTableFieldId="3"/>
    <tableColumn id="4" xr3:uid="{42F21E97-58CB-4F56-AFE9-EC3A90F44CA5}" uniqueName="4" name="Tolls" queryTableFieldId="4"/>
    <tableColumn id="5" xr3:uid="{15ACD681-5568-42FF-99E6-AFDD3D10EF4A}" uniqueName="5" name="Week#" queryTableFieldId="5"/>
    <tableColumn id="6" xr3:uid="{6D10EBBE-7087-4E13-9617-1C79DF787ABC}" uniqueName="6" name="PARTNER NAME" queryTableFieldId="6"/>
    <tableColumn id="7" xr3:uid="{BF4F7178-7F94-4711-A484-33CC1F38BD5F}" uniqueName="7" name="OPERATOR NAME" queryTableFieldId="7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B64F0C5-46B3-491F-AF22-1124C6D61C2A}" name="CoastTransactions" displayName="CoastTransactions" ref="A1:H93" tableType="queryTable" totalsRowShown="0">
  <autoFilter ref="A1:H93" xr:uid="{CB64F0C5-46B3-491F-AF22-1124C6D61C2A}"/>
  <tableColumns count="8">
    <tableColumn id="1" xr3:uid="{0C79EDA7-45DA-4A1C-9D4F-B6A8CA03E7C3}" uniqueName="1" name="Date" queryTableFieldId="1" dataDxfId="2"/>
    <tableColumn id="2" xr3:uid="{DC652734-1C7E-4070-8292-C185DC29AFE6}" uniqueName="2" name="User" queryTableFieldId="2"/>
    <tableColumn id="3" xr3:uid="{84B1309B-F086-4A55-BF37-0DB445C30E1B}" uniqueName="3" name="Amount" queryTableFieldId="3"/>
    <tableColumn id="4" xr3:uid="{C67E0AE3-919A-44C0-9FA6-55B1D593042D}" uniqueName="4" name="Gallons" queryTableFieldId="4"/>
    <tableColumn id="5" xr3:uid="{549ADE40-7A6D-4385-A81A-B325358B32E5}" uniqueName="5" name="Cost Per Gallon" queryTableFieldId="5"/>
    <tableColumn id="6" xr3:uid="{FEA29872-E690-4452-9C34-47EEFEBBAF01}" uniqueName="6" name="Computed Amount" queryTableFieldId="6"/>
    <tableColumn id="7" xr3:uid="{9901DF29-F0AD-4D61-A8E8-C2551BBBD2C9}" uniqueName="7" name="Diff" queryTableFieldId="7"/>
    <tableColumn id="8" xr3:uid="{E0786A5F-A8DD-47CA-968F-6A389B8A67C0}" uniqueName="8" name="PARTNER NAME" queryTableFieldId="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D9108B5-830A-4338-A82C-165A1D530E3A}" name="CoastTransactionsChecks" displayName="CoastTransactionsChecks" ref="A1:H15" tableType="queryTable" totalsRowShown="0">
  <autoFilter ref="A1:H15" xr:uid="{ED9108B5-830A-4338-A82C-165A1D530E3A}"/>
  <tableColumns count="8">
    <tableColumn id="1" xr3:uid="{C10E0954-FD5A-41B8-9201-AACF73271A66}" uniqueName="1" name="Date" queryTableFieldId="1" dataDxfId="1"/>
    <tableColumn id="2" xr3:uid="{CF1EE86A-501E-40A7-B976-B51AD5B4329D}" uniqueName="2" name="User" queryTableFieldId="2"/>
    <tableColumn id="3" xr3:uid="{22AF83DC-1416-49DC-B062-96B674640F91}" uniqueName="3" name="Amount" queryTableFieldId="3"/>
    <tableColumn id="4" xr3:uid="{8BDAFD79-2425-4559-961E-DAADC15139E2}" uniqueName="4" name="Gallons" queryTableFieldId="4"/>
    <tableColumn id="5" xr3:uid="{4F6A9EC0-EB1F-4A76-A71E-04B03877BC4B}" uniqueName="5" name="Cost Per Gallon" queryTableFieldId="5"/>
    <tableColumn id="6" xr3:uid="{CDEEE13D-1A23-4C25-A91B-282534D568D2}" uniqueName="6" name="Computed Amount" queryTableFieldId="6"/>
    <tableColumn id="7" xr3:uid="{9707023A-9475-4FC1-83B9-0BCD66A8597E}" uniqueName="7" name="Diff" queryTableFieldId="7"/>
    <tableColumn id="8" xr3:uid="{91A3DFD8-118B-4704-8508-C03311A18265}" uniqueName="8" name="PARTNER NAME" queryTableFieldId="8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70129C7-D740-417B-B518-20F1DB1ACDFE}" name="TrapezeFuel" displayName="TrapezeFuel" ref="A1:I106" tableType="queryTable" totalsRowShown="0">
  <autoFilter ref="A1:I106" xr:uid="{470129C7-D740-417B-B518-20F1DB1ACDFE}"/>
  <tableColumns count="9">
    <tableColumn id="1" xr3:uid="{9E7870DE-84BB-4A43-99EB-82D4398897A3}" uniqueName="1" name="Date" queryTableFieldId="1" dataDxfId="0"/>
    <tableColumn id="2" xr3:uid="{7E16E7C1-39C5-4C6C-952E-D9262D09D26C}" uniqueName="2" name="PARTNER NAME" queryTableFieldId="2"/>
    <tableColumn id="3" xr3:uid="{EEBF5355-D563-4216-8E19-0C83B1616672}" uniqueName="3" name="OPERATOR NAME" queryTableFieldId="3"/>
    <tableColumn id="4" xr3:uid="{07D782C1-10E4-4F82-8318-47E97C731635}" uniqueName="4" name="Manifest" queryTableFieldId="4"/>
    <tableColumn id="5" xr3:uid="{EFE7C540-BFB3-4539-809E-077CC15E4069}" uniqueName="5" name="Total Miles" queryTableFieldId="5"/>
    <tableColumn id="6" xr3:uid="{5B32DA66-28E7-40CB-AC12-308D8EA7A51B}" uniqueName="6" name="Fuel Rate" queryTableFieldId="6"/>
    <tableColumn id="7" xr3:uid="{BF713F9F-540E-4456-B654-7A2BDB65D2CA}" uniqueName="7" name="Calculated Gallons (@19MilesPerGallon)" queryTableFieldId="7"/>
    <tableColumn id="8" xr3:uid="{C446171C-A9B2-458E-8819-035059A18D4F}" uniqueName="8" name="Calculated Fuel Cost" queryTableFieldId="8"/>
    <tableColumn id="9" xr3:uid="{EEBECF7D-E45D-4D3A-B258-4F73338861C7}" uniqueName="9" name="Week#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.bin"/><Relationship Id="rId3" Type="http://schemas.openxmlformats.org/officeDocument/2006/relationships/pivotTable" Target="../pivotTables/pivotTable5.xml"/><Relationship Id="rId7" Type="http://schemas.openxmlformats.org/officeDocument/2006/relationships/pivotTable" Target="../pivotTables/pivotTable9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B2E0E-8BF8-4C42-B90E-40A41E29B059}">
  <sheetPr codeName="Sheet24"/>
  <dimension ref="A1:F3"/>
  <sheetViews>
    <sheetView showGridLines="0" workbookViewId="0">
      <selection activeCell="D20" sqref="D20"/>
    </sheetView>
  </sheetViews>
  <sheetFormatPr defaultRowHeight="15" x14ac:dyDescent="0.25"/>
  <cols>
    <col min="1" max="1" width="17.7109375" bestFit="1" customWidth="1"/>
    <col min="2" max="2" width="9.5703125" bestFit="1" customWidth="1"/>
    <col min="3" max="3" width="10.140625" bestFit="1" customWidth="1"/>
    <col min="4" max="4" width="12.28515625" bestFit="1" customWidth="1"/>
    <col min="5" max="5" width="11.5703125" bestFit="1" customWidth="1"/>
    <col min="6" max="6" width="9.71093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6</v>
      </c>
      <c r="B2" s="64">
        <v>45035</v>
      </c>
      <c r="C2">
        <v>500</v>
      </c>
      <c r="D2" t="s">
        <v>7</v>
      </c>
      <c r="E2" s="64">
        <v>45033</v>
      </c>
      <c r="F2" t="s">
        <v>8</v>
      </c>
    </row>
    <row r="3" spans="1:6" x14ac:dyDescent="0.25">
      <c r="A3" t="s">
        <v>9</v>
      </c>
      <c r="B3" s="64">
        <v>45035</v>
      </c>
      <c r="C3">
        <v>500</v>
      </c>
      <c r="D3" t="s">
        <v>7</v>
      </c>
      <c r="E3" s="64">
        <v>45033</v>
      </c>
      <c r="F3" t="s">
        <v>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EF7BD-3181-417C-A206-ED72636C8B59}">
  <sheetPr codeName="Sheet34"/>
  <dimension ref="A3:J5"/>
  <sheetViews>
    <sheetView showGridLines="0" workbookViewId="0">
      <selection activeCell="C9" sqref="C9"/>
    </sheetView>
  </sheetViews>
  <sheetFormatPr defaultRowHeight="15" x14ac:dyDescent="0.25"/>
  <sheetData>
    <row r="3" spans="1:10" ht="15.75" x14ac:dyDescent="0.25">
      <c r="F3" s="186"/>
    </row>
    <row r="5" spans="1:10" ht="18.75" x14ac:dyDescent="0.3">
      <c r="A5" s="132" t="s">
        <v>10</v>
      </c>
      <c r="B5" s="132"/>
      <c r="C5" s="132"/>
      <c r="D5" s="132"/>
      <c r="E5" s="132"/>
      <c r="F5" s="132"/>
      <c r="G5" s="132"/>
      <c r="H5" s="132"/>
      <c r="I5" s="132"/>
      <c r="J5" s="13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BF386-1D00-4E77-B9DA-025F477EACAD}">
  <sheetPr codeName="Sheet1">
    <tabColor rgb="FFFF0000"/>
  </sheetPr>
  <dimension ref="A1:F12"/>
  <sheetViews>
    <sheetView showGridLines="0" zoomScale="90" zoomScaleNormal="90" workbookViewId="0">
      <selection activeCell="C4" sqref="C4"/>
    </sheetView>
  </sheetViews>
  <sheetFormatPr defaultRowHeight="15" x14ac:dyDescent="0.25"/>
  <cols>
    <col min="1" max="1" width="16.5703125" bestFit="1" customWidth="1"/>
    <col min="2" max="2" width="24.85546875" customWidth="1"/>
    <col min="3" max="3" width="22.42578125" customWidth="1"/>
    <col min="4" max="4" width="28.28515625" bestFit="1" customWidth="1"/>
    <col min="5" max="6" width="30.28515625" bestFit="1" customWidth="1"/>
    <col min="7" max="7" width="16" customWidth="1"/>
    <col min="8" max="8" width="16.85546875" customWidth="1"/>
    <col min="9" max="9" width="16" bestFit="1" customWidth="1"/>
    <col min="10" max="10" width="27" customWidth="1"/>
    <col min="11" max="12" width="29" customWidth="1"/>
  </cols>
  <sheetData>
    <row r="1" spans="1:6" ht="23.25" x14ac:dyDescent="0.35">
      <c r="A1" s="65" t="s">
        <v>11</v>
      </c>
      <c r="B1" s="65" t="s">
        <v>4</v>
      </c>
      <c r="C1" s="65" t="s">
        <v>12</v>
      </c>
      <c r="D1" s="65" t="s">
        <v>13</v>
      </c>
    </row>
    <row r="2" spans="1:6" ht="23.25" x14ac:dyDescent="0.35">
      <c r="A2" s="65" t="s">
        <v>14</v>
      </c>
      <c r="B2" s="128">
        <v>45628</v>
      </c>
      <c r="C2" s="128">
        <f>Table1[[#This Row],[Start Date]]+6</f>
        <v>45634</v>
      </c>
      <c r="D2" s="65">
        <v>2.8</v>
      </c>
    </row>
    <row r="3" spans="1:6" ht="23.25" x14ac:dyDescent="0.35">
      <c r="A3" s="65" t="s">
        <v>15</v>
      </c>
      <c r="B3" s="87">
        <v>45635</v>
      </c>
      <c r="C3" s="129">
        <f>Table1[[#This Row],[Start Date]]+6</f>
        <v>45641</v>
      </c>
      <c r="D3" s="65">
        <v>2.8</v>
      </c>
    </row>
    <row r="4" spans="1:6" ht="31.5" x14ac:dyDescent="0.5">
      <c r="A4" s="66"/>
      <c r="B4" s="66"/>
      <c r="C4" s="66"/>
    </row>
    <row r="9" spans="1:6" ht="18.75" x14ac:dyDescent="0.3">
      <c r="A9" s="132" t="s">
        <v>16</v>
      </c>
    </row>
    <row r="10" spans="1:6" ht="23.25" x14ac:dyDescent="0.35">
      <c r="A10" s="127" t="s">
        <v>11</v>
      </c>
      <c r="B10" s="127" t="s">
        <v>4</v>
      </c>
      <c r="C10" s="127" t="s">
        <v>12</v>
      </c>
      <c r="D10" s="133" t="s">
        <v>17</v>
      </c>
      <c r="E10" s="133" t="s">
        <v>18</v>
      </c>
      <c r="F10" s="133" t="s">
        <v>19</v>
      </c>
    </row>
    <row r="11" spans="1:6" ht="23.25" x14ac:dyDescent="0.35">
      <c r="A11" s="130" t="s">
        <v>14</v>
      </c>
      <c r="B11" s="128">
        <v>45628</v>
      </c>
      <c r="C11" s="128">
        <f>Table9[[#This Row],[Start Date]]+6</f>
        <v>45634</v>
      </c>
      <c r="D11" s="135">
        <v>0.7</v>
      </c>
      <c r="E11" s="135">
        <v>0.1</v>
      </c>
      <c r="F11" s="135">
        <v>0.05</v>
      </c>
    </row>
    <row r="12" spans="1:6" ht="23.25" x14ac:dyDescent="0.35">
      <c r="A12" s="131" t="s">
        <v>15</v>
      </c>
      <c r="B12" s="87">
        <v>45635</v>
      </c>
      <c r="C12" s="129">
        <f>Table9[[#This Row],[Start Date]]+6</f>
        <v>45641</v>
      </c>
      <c r="D12" s="135">
        <v>0.7</v>
      </c>
      <c r="E12" s="135">
        <v>0.1</v>
      </c>
      <c r="F12" s="135">
        <v>0.05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5" tint="-0.249977111117893"/>
  </sheetPr>
  <dimension ref="A1:Q59"/>
  <sheetViews>
    <sheetView showGridLines="0" zoomScaleNormal="10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6" sqref="D6"/>
    </sheetView>
  </sheetViews>
  <sheetFormatPr defaultColWidth="9.28515625" defaultRowHeight="15" customHeight="1" x14ac:dyDescent="0.25"/>
  <cols>
    <col min="1" max="1" width="34.28515625" style="70" customWidth="1"/>
    <col min="2" max="2" width="6.7109375" style="1" hidden="1" customWidth="1"/>
    <col min="3" max="3" width="32.28515625" style="1" hidden="1" customWidth="1"/>
    <col min="4" max="4" width="15.28515625" style="165" customWidth="1"/>
    <col min="5" max="6" width="13.28515625" style="165" customWidth="1"/>
    <col min="7" max="7" width="17.28515625" style="165" bestFit="1" customWidth="1"/>
    <col min="8" max="8" width="13.7109375" style="165" bestFit="1" customWidth="1"/>
    <col min="9" max="9" width="13.42578125" style="165" bestFit="1" customWidth="1"/>
    <col min="10" max="10" width="14" style="165" bestFit="1" customWidth="1"/>
    <col min="11" max="11" width="13.28515625" style="165" bestFit="1" customWidth="1"/>
    <col min="12" max="12" width="15.85546875" style="165" bestFit="1" customWidth="1"/>
    <col min="13" max="13" width="23" style="165" bestFit="1" customWidth="1"/>
    <col min="14" max="14" width="17.42578125" style="165" customWidth="1"/>
    <col min="15" max="16" width="0" style="1" hidden="1" customWidth="1"/>
    <col min="17" max="16384" width="9.28515625" style="1"/>
  </cols>
  <sheetData>
    <row r="1" spans="1:17" ht="15.75" customHeight="1" x14ac:dyDescent="0.25">
      <c r="A1" s="67" t="s">
        <v>369</v>
      </c>
      <c r="B1" s="16"/>
      <c r="C1" s="16"/>
      <c r="D1" s="1"/>
      <c r="E1" s="1"/>
      <c r="F1" s="1"/>
      <c r="G1" s="1"/>
      <c r="H1" s="1"/>
      <c r="I1" s="1"/>
      <c r="J1" s="1"/>
      <c r="K1" s="1"/>
      <c r="L1" s="1"/>
      <c r="M1" s="1"/>
      <c r="N1" s="102"/>
    </row>
    <row r="2" spans="1:17" ht="18.75" customHeight="1" x14ac:dyDescent="0.3">
      <c r="A2" s="67"/>
      <c r="B2" s="16"/>
      <c r="C2" s="16"/>
      <c r="D2" s="1"/>
      <c r="E2" s="17"/>
      <c r="F2" s="17"/>
      <c r="G2" s="17"/>
      <c r="H2" s="18"/>
      <c r="I2" s="19"/>
      <c r="J2" s="18" t="s">
        <v>20</v>
      </c>
      <c r="K2" s="18"/>
      <c r="L2" s="18"/>
      <c r="M2" s="18"/>
      <c r="N2" s="102"/>
    </row>
    <row r="3" spans="1:17" ht="15.75" customHeight="1" x14ac:dyDescent="0.25">
      <c r="A3" s="67"/>
      <c r="B3" s="16"/>
      <c r="C3" s="16"/>
      <c r="D3" s="20" t="s">
        <v>21</v>
      </c>
      <c r="E3" s="20" t="s">
        <v>22</v>
      </c>
      <c r="F3" s="20"/>
      <c r="G3" s="20"/>
      <c r="H3" s="21"/>
      <c r="I3" s="1"/>
      <c r="J3" s="21"/>
      <c r="K3" s="21"/>
      <c r="L3" s="21"/>
      <c r="M3" s="21"/>
      <c r="N3" s="103" t="s">
        <v>23</v>
      </c>
    </row>
    <row r="4" spans="1:17" s="20" customFormat="1" ht="15.75" customHeight="1" thickBot="1" x14ac:dyDescent="0.3">
      <c r="A4" s="68" t="s">
        <v>0</v>
      </c>
      <c r="B4" s="22" t="s">
        <v>24</v>
      </c>
      <c r="C4" s="22" t="s">
        <v>25</v>
      </c>
      <c r="D4" s="22" t="s">
        <v>26</v>
      </c>
      <c r="E4" s="22" t="s">
        <v>27</v>
      </c>
      <c r="F4" s="22" t="s">
        <v>28</v>
      </c>
      <c r="G4" s="22" t="s">
        <v>29</v>
      </c>
      <c r="H4" s="22" t="s">
        <v>30</v>
      </c>
      <c r="I4" s="22" t="s">
        <v>31</v>
      </c>
      <c r="J4" s="22" t="s">
        <v>32</v>
      </c>
      <c r="K4" s="22" t="s">
        <v>33</v>
      </c>
      <c r="L4" s="22" t="s">
        <v>34</v>
      </c>
      <c r="M4" s="22" t="s">
        <v>35</v>
      </c>
      <c r="N4" s="104" t="s">
        <v>36</v>
      </c>
    </row>
    <row r="5" spans="1:17" s="20" customFormat="1" ht="23.45" customHeight="1" thickTop="1" x14ac:dyDescent="0.35">
      <c r="A5" s="194" t="s">
        <v>37</v>
      </c>
      <c r="B5" s="194"/>
      <c r="C5" s="194"/>
      <c r="D5" s="194"/>
      <c r="E5" s="194"/>
      <c r="F5" s="194"/>
      <c r="G5" s="194"/>
      <c r="H5" s="194"/>
      <c r="I5" s="194"/>
      <c r="J5" s="194"/>
      <c r="K5" s="194"/>
      <c r="L5" s="194"/>
      <c r="M5" s="194"/>
      <c r="N5" s="194"/>
    </row>
    <row r="6" spans="1:17" ht="15" customHeight="1" x14ac:dyDescent="0.25">
      <c r="A6" s="69" t="str" cm="1">
        <f t="array" ref="A6:C15">Div10PartnerDetails[]</f>
        <v>PAUL KENNEDY</v>
      </c>
      <c r="B6" s="23">
        <v>10029</v>
      </c>
      <c r="C6" s="10" t="str">
        <v>paulke27@gmail.com</v>
      </c>
      <c r="D6" s="166">
        <f>IFERROR(SUMIF(TrapezeReport[PARTNER NAME],A6,TrapezeReport[TTL Rev]),0)</f>
        <v>1655.5</v>
      </c>
      <c r="E6" s="167" cm="1">
        <f t="array" ref="E6">SUM(_xlfn._xlws.FILTER(Deductions[[Other Income ]],(Deductions[PARTNER]=A6)*(Deductions[Type]="TRANSDEV"),0))</f>
        <v>0</v>
      </c>
      <c r="F6" s="166" cm="1">
        <f t="array" ref="F6">SUM(_xlfn._xlws.FILTER(Deductions[Bonus],(Deductions[PARTNER]=A6)*(Deductions[Type]="TRANSDEV"),0))</f>
        <v>0</v>
      </c>
      <c r="G6" s="167" cm="1">
        <f t="array" ref="G6">SUM(_xlfn._xlws.FILTER(Deductions[[Reimbursement ]],(Deductions[PARTNER]=A6)*(Deductions[Type]="TRANSDEV"),0))</f>
        <v>0</v>
      </c>
      <c r="H6" s="166" cm="1">
        <f t="array" ref="H6">SUM(_xlfn._xlws.FILTER(Deductions[Credentials],(Deductions[PARTNER]=A6)*(Deductions[Type]="TRANSDEV"),0))</f>
        <v>0</v>
      </c>
      <c r="I6" s="168" cm="1">
        <f t="array" ref="I6">SUM(_xlfn._xlws.FILTER(Deductions[LIFT LEASE TOTAL],(Deductions[PARTNER]=A6)*(Deductions[Type]="TRANSDEV"),0))</f>
        <v>259</v>
      </c>
      <c r="J6" s="166" cm="1">
        <f t="array" ref="J6">SUM(_xlfn._xlws.FILTER(Deductions[Violation],(Deductions[PARTNER]=A6)*(Deductions[Type]="TRANSDEV"),0))</f>
        <v>0</v>
      </c>
      <c r="K6" s="166">
        <f>SUMIF(TrapezeReport[PARTNER NAME],A6,TrapezeReport[Cash Fares Collected])</f>
        <v>25.199999999999996</v>
      </c>
      <c r="L6" s="166" cm="1">
        <f t="array" ref="L6">SUM(_xlfn._xlws.FILTER(Deductions[Other Deduction],(Deductions[PARTNER]=A6)*(Deductions[Type]="TRANSDEV"),0))</f>
        <v>0</v>
      </c>
      <c r="M6" s="166" cm="1">
        <f t="array" ref="M6">IF(SUM(_xlfn._xlws.FILTER(CoastTransactions[Amount],CoastTransactions[PARTNER NAME]=A6,0))-SUM(_xlfn._xlws.FILTER(TrapezeFuel[Calculated Fuel Cost],TrapezeFuel[PARTNER NAME]=A6,0))&lt;0,0,SUM(_xlfn._xlws.FILTER(CoastTransactions[Amount],CoastTransactions[PARTNER NAME]=A6,0))-SUM(_xlfn._xlws.FILTER(TrapezeFuel[Calculated Fuel Cost],TrapezeFuel[PARTNER NAME]=A6,0)))</f>
        <v>83.001600000000025</v>
      </c>
      <c r="N6" s="169">
        <f>IFERROR(SUM(D6:G6)-SUM(H6:M6),0)</f>
        <v>1288.2984000000001</v>
      </c>
      <c r="Q6" s="88"/>
    </row>
    <row r="7" spans="1:17" ht="15" customHeight="1" x14ac:dyDescent="0.25">
      <c r="A7" s="69" t="str">
        <v>FLASH LOGISTICS LLC</v>
      </c>
      <c r="B7" s="28">
        <v>1083</v>
      </c>
      <c r="C7" s="29" t="str">
        <v>flashlogisticss@proton.me</v>
      </c>
      <c r="D7" s="166">
        <f>IFERROR(SUMIF(TrapezeReport[PARTNER NAME],A7,TrapezeReport[TTL Rev]),0)</f>
        <v>2795</v>
      </c>
      <c r="E7" s="167" cm="1">
        <f t="array" ref="E7">SUM(_xlfn._xlws.FILTER(Deductions[[Other Income ]],(Deductions[PARTNER]=A7)*(Deductions[Type]="TRANSDEV"),0))</f>
        <v>0</v>
      </c>
      <c r="F7" s="166" cm="1">
        <f t="array" ref="F7">SUM(_xlfn._xlws.FILTER(Deductions[Bonus],(Deductions[PARTNER]=A7)*(Deductions[Type]="TRANSDEV"),0))</f>
        <v>0</v>
      </c>
      <c r="G7" s="167" cm="1">
        <f t="array" ref="G7">SUM(_xlfn._xlws.FILTER(Deductions[[Reimbursement ]],(Deductions[PARTNER]=A7)*(Deductions[Type]="TRANSDEV"),0))</f>
        <v>0</v>
      </c>
      <c r="H7" s="166" cm="1">
        <f t="array" ref="H7">SUM(_xlfn._xlws.FILTER(Deductions[Credentials],(Deductions[PARTNER]=A7)*(Deductions[Type]="TRANSDEV"),0))</f>
        <v>0</v>
      </c>
      <c r="I7" s="168" cm="1">
        <f t="array" ref="I7">SUM(_xlfn._xlws.FILTER(Deductions[LIFT LEASE TOTAL],(Deductions[PARTNER]=A7)*(Deductions[Type]="TRANSDEV"),0))</f>
        <v>370</v>
      </c>
      <c r="J7" s="166" cm="1">
        <f t="array" ref="J7">SUM(_xlfn._xlws.FILTER(Deductions[Violation],(Deductions[PARTNER]=A7)*(Deductions[Type]="TRANSDEV"),0))</f>
        <v>0</v>
      </c>
      <c r="K7" s="166">
        <f>SUMIF(TrapezeReport[PARTNER NAME],A7,TrapezeReport[Cash Fares Collected])</f>
        <v>41.999999999999993</v>
      </c>
      <c r="L7" s="166" cm="1">
        <f t="array" ref="L7">SUM(_xlfn._xlws.FILTER(Deductions[Other Deduction],(Deductions[PARTNER]=A7)*(Deductions[Type]="TRANSDEV"),0))</f>
        <v>0</v>
      </c>
      <c r="M7" s="166" cm="1">
        <f t="array" ref="M7">IF(SUM(_xlfn._xlws.FILTER(CoastTransactions[Amount],CoastTransactions[PARTNER NAME]=A7,0))-SUM(_xlfn._xlws.FILTER(TrapezeFuel[Calculated Fuel Cost],TrapezeFuel[PARTNER NAME]=A7,0))&lt;0,0,SUM(_xlfn._xlws.FILTER(CoastTransactions[Amount],CoastTransactions[PARTNER NAME]=A7,0))-SUM(_xlfn._xlws.FILTER(TrapezeFuel[Calculated Fuel Cost],TrapezeFuel[PARTNER NAME]=A7,0)))</f>
        <v>124.92830000000001</v>
      </c>
      <c r="N7" s="169">
        <f t="shared" ref="N7:N22" si="0">IFERROR(SUM(D7:G7)-SUM(H7:M7),0)</f>
        <v>2258.0717</v>
      </c>
    </row>
    <row r="8" spans="1:17" ht="15.75" customHeight="1" x14ac:dyDescent="0.25">
      <c r="A8" s="69" t="str">
        <v>MVO TRANSPORTATION</v>
      </c>
      <c r="B8" s="28">
        <v>1091</v>
      </c>
      <c r="C8" s="29" t="str">
        <v>MvOtransportation503@gmail.com</v>
      </c>
      <c r="D8" s="166">
        <f>IFERROR(SUMIF(TrapezeReport[PARTNER NAME],A8,TrapezeReport[TTL Rev]),0)</f>
        <v>2193</v>
      </c>
      <c r="E8" s="167" cm="1">
        <f t="array" ref="E8">SUM(_xlfn._xlws.FILTER(Deductions[[Other Income ]],(Deductions[PARTNER]=A8)*(Deductions[Type]="TRANSDEV"),0))</f>
        <v>0</v>
      </c>
      <c r="F8" s="166" cm="1">
        <f t="array" ref="F8">SUM(_xlfn._xlws.FILTER(Deductions[Bonus],(Deductions[PARTNER]=A8)*(Deductions[Type]="TRANSDEV"),0))</f>
        <v>0</v>
      </c>
      <c r="G8" s="167" cm="1">
        <f t="array" ref="G8">SUM(_xlfn._xlws.FILTER(Deductions[[Reimbursement ]],(Deductions[PARTNER]=A8)*(Deductions[Type]="TRANSDEV"),0))</f>
        <v>0</v>
      </c>
      <c r="H8" s="166" cm="1">
        <f t="array" ref="H8">SUM(_xlfn._xlws.FILTER(Deductions[Credentials],(Deductions[PARTNER]=A8)*(Deductions[Type]="TRANSDEV"),0))</f>
        <v>0</v>
      </c>
      <c r="I8" s="168" cm="1">
        <f t="array" ref="I8">SUM(_xlfn._xlws.FILTER(Deductions[LIFT LEASE TOTAL],(Deductions[PARTNER]=A8)*(Deductions[Type]="TRANSDEV"),0))</f>
        <v>370</v>
      </c>
      <c r="J8" s="166" cm="1">
        <f t="array" ref="J8">SUM(_xlfn._xlws.FILTER(Deductions[Violation],(Deductions[PARTNER]=A8)*(Deductions[Type]="TRANSDEV"),0))</f>
        <v>0</v>
      </c>
      <c r="K8" s="166">
        <f>SUMIF(TrapezeReport[PARTNER NAME],A8,TrapezeReport[Cash Fares Collected])</f>
        <v>14</v>
      </c>
      <c r="L8" s="166" cm="1">
        <f t="array" ref="L8">SUM(_xlfn._xlws.FILTER(Deductions[Other Deduction],(Deductions[PARTNER]=A8)*(Deductions[Type]="TRANSDEV"),0))</f>
        <v>250</v>
      </c>
      <c r="M8" s="166" cm="1">
        <f t="array" ref="M8">IF(SUM(_xlfn._xlws.FILTER(CoastTransactions[Amount],CoastTransactions[PARTNER NAME]=A8,0))-SUM(_xlfn._xlws.FILTER(TrapezeFuel[Calculated Fuel Cost],TrapezeFuel[PARTNER NAME]=A8,0))&lt;0,0,SUM(_xlfn._xlws.FILTER(CoastTransactions[Amount],CoastTransactions[PARTNER NAME]=A8,0))-SUM(_xlfn._xlws.FILTER(TrapezeFuel[Calculated Fuel Cost],TrapezeFuel[PARTNER NAME]=A8,0)))</f>
        <v>88.748099999999994</v>
      </c>
      <c r="N8" s="169">
        <f t="shared" si="0"/>
        <v>1470.2519</v>
      </c>
    </row>
    <row r="9" spans="1:17" ht="15" customHeight="1" x14ac:dyDescent="0.25">
      <c r="A9" s="69" t="str">
        <v>JUST EASY ACCESS RIDE LLC</v>
      </c>
      <c r="B9" s="28">
        <v>10024</v>
      </c>
      <c r="C9" s="29" t="str">
        <v>mugenzijustin4@gmail.com</v>
      </c>
      <c r="D9" s="166">
        <f>IFERROR(SUMIF(TrapezeReport[PARTNER NAME],A9,TrapezeReport[TTL Rev]),0)</f>
        <v>2838</v>
      </c>
      <c r="E9" s="167" cm="1">
        <f t="array" ref="E9">SUM(_xlfn._xlws.FILTER(Deductions[[Other Income ]],(Deductions[PARTNER]=A9)*(Deductions[Type]="TRANSDEV"),0))</f>
        <v>0</v>
      </c>
      <c r="F9" s="166" cm="1">
        <f t="array" ref="F9">SUM(_xlfn._xlws.FILTER(Deductions[Bonus],(Deductions[PARTNER]=A9)*(Deductions[Type]="TRANSDEV"),0))</f>
        <v>0</v>
      </c>
      <c r="G9" s="167" cm="1">
        <f t="array" ref="G9">SUM(_xlfn._xlws.FILTER(Deductions[[Reimbursement ]],(Deductions[PARTNER]=A9)*(Deductions[Type]="TRANSDEV"),0))</f>
        <v>0</v>
      </c>
      <c r="H9" s="166" cm="1">
        <f t="array" ref="H9">SUM(_xlfn._xlws.FILTER(Deductions[Credentials],(Deductions[PARTNER]=A9)*(Deductions[Type]="TRANSDEV"),0))</f>
        <v>0</v>
      </c>
      <c r="I9" s="168" cm="1">
        <f t="array" ref="I9">SUM(_xlfn._xlws.FILTER(Deductions[LIFT LEASE TOTAL],(Deductions[PARTNER]=A9)*(Deductions[Type]="TRANSDEV"),0))</f>
        <v>370</v>
      </c>
      <c r="J9" s="166" cm="1">
        <f t="array" ref="J9">SUM(_xlfn._xlws.FILTER(Deductions[Violation],(Deductions[PARTNER]=A9)*(Deductions[Type]="TRANSDEV"),0))</f>
        <v>0</v>
      </c>
      <c r="K9" s="166">
        <f>SUMIF(TrapezeReport[PARTNER NAME],A9,TrapezeReport[Cash Fares Collected])</f>
        <v>30.8</v>
      </c>
      <c r="L9" s="166" cm="1">
        <f t="array" ref="L9">SUM(_xlfn._xlws.FILTER(Deductions[Other Deduction],(Deductions[PARTNER]=A9)*(Deductions[Type]="TRANSDEV"),0))</f>
        <v>0</v>
      </c>
      <c r="M9" s="166" cm="1">
        <f t="array" ref="M9">IF(SUM(_xlfn._xlws.FILTER(CoastTransactions[Amount],CoastTransactions[PARTNER NAME]=A9,0))-SUM(_xlfn._xlws.FILTER(TrapezeFuel[Calculated Fuel Cost],TrapezeFuel[PARTNER NAME]=A9,0))&lt;0,0,SUM(_xlfn._xlws.FILTER(CoastTransactions[Amount],CoastTransactions[PARTNER NAME]=A9,0))-SUM(_xlfn._xlws.FILTER(TrapezeFuel[Calculated Fuel Cost],TrapezeFuel[PARTNER NAME]=A9,0)))</f>
        <v>126.59980000000002</v>
      </c>
      <c r="N9" s="169">
        <f t="shared" si="0"/>
        <v>2310.6001999999999</v>
      </c>
    </row>
    <row r="10" spans="1:17" ht="15" customHeight="1" x14ac:dyDescent="0.25">
      <c r="A10" s="69" t="str">
        <v>ARISESIZ LLC</v>
      </c>
      <c r="B10" s="28">
        <v>1089</v>
      </c>
      <c r="C10" s="29" t="str">
        <v>Ahizaexll@gmail.com</v>
      </c>
      <c r="D10" s="166">
        <f>IFERROR(SUMIF(TrapezeReport[PARTNER NAME],A10,TrapezeReport[TTL Rev]),0)</f>
        <v>3633.5</v>
      </c>
      <c r="E10" s="167" cm="1">
        <f t="array" ref="E10">SUM(_xlfn._xlws.FILTER(Deductions[[Other Income ]],(Deductions[PARTNER]=A10)*(Deductions[Type]="TRANSDEV"),0))</f>
        <v>0</v>
      </c>
      <c r="F10" s="166" cm="1">
        <f t="array" ref="F10">SUM(_xlfn._xlws.FILTER(Deductions[Bonus],(Deductions[PARTNER]=A10)*(Deductions[Type]="TRANSDEV"),0))</f>
        <v>0</v>
      </c>
      <c r="G10" s="167" cm="1">
        <f t="array" ref="G10">SUM(_xlfn._xlws.FILTER(Deductions[[Reimbursement ]],(Deductions[PARTNER]=A10)*(Deductions[Type]="TRANSDEV"),0))</f>
        <v>0</v>
      </c>
      <c r="H10" s="166" cm="1">
        <f t="array" ref="H10">SUM(_xlfn._xlws.FILTER(Deductions[Credentials],(Deductions[PARTNER]=A10)*(Deductions[Type]="TRANSDEV"),0))</f>
        <v>0</v>
      </c>
      <c r="I10" s="168" cm="1">
        <f t="array" ref="I10">SUM(_xlfn._xlws.FILTER(Deductions[LIFT LEASE TOTAL],(Deductions[PARTNER]=A10)*(Deductions[Type]="TRANSDEV"),0))</f>
        <v>370</v>
      </c>
      <c r="J10" s="166" cm="1">
        <f t="array" ref="J10">SUM(_xlfn._xlws.FILTER(Deductions[Violation],(Deductions[PARTNER]=A10)*(Deductions[Type]="TRANSDEV"),0))</f>
        <v>0</v>
      </c>
      <c r="K10" s="166">
        <f>SUMIF(TrapezeReport[PARTNER NAME],A10,TrapezeReport[Cash Fares Collected])</f>
        <v>13.999999999999998</v>
      </c>
      <c r="L10" s="166" cm="1">
        <f t="array" ref="L10">SUM(_xlfn._xlws.FILTER(Deductions[Other Deduction],(Deductions[PARTNER]=A10)*(Deductions[Type]="TRANSDEV"),0))</f>
        <v>0</v>
      </c>
      <c r="M10" s="166" cm="1">
        <f t="array" ref="M10">IF(SUM(_xlfn._xlws.FILTER(CoastTransactions[Amount],CoastTransactions[PARTNER NAME]=A10,0))-SUM(_xlfn._xlws.FILTER(TrapezeFuel[Calculated Fuel Cost],TrapezeFuel[PARTNER NAME]=A10,0))&lt;0,0,SUM(_xlfn._xlws.FILTER(CoastTransactions[Amount],CoastTransactions[PARTNER NAME]=A10,0))-SUM(_xlfn._xlws.FILTER(TrapezeFuel[Calculated Fuel Cost],TrapezeFuel[PARTNER NAME]=A10,0)))</f>
        <v>30.550900000000013</v>
      </c>
      <c r="N10" s="169">
        <f t="shared" si="0"/>
        <v>3218.9490999999998</v>
      </c>
      <c r="O10" s="24"/>
    </row>
    <row r="11" spans="1:17" ht="15" customHeight="1" x14ac:dyDescent="0.25">
      <c r="A11" s="69" t="str">
        <v>MTIGER TRANSPORTATION</v>
      </c>
      <c r="B11" s="28">
        <v>1087</v>
      </c>
      <c r="C11" s="29" t="str">
        <v>mtiger7514@gmail.com</v>
      </c>
      <c r="D11" s="166">
        <f>IFERROR(SUMIF(TrapezeReport[PARTNER NAME],A11,TrapezeReport[TTL Rev]),0)</f>
        <v>2945.5</v>
      </c>
      <c r="E11" s="167" cm="1">
        <f t="array" ref="E11">SUM(_xlfn._xlws.FILTER(Deductions[[Other Income ]],(Deductions[PARTNER]=A11)*(Deductions[Type]="TRANSDEV"),0))</f>
        <v>0</v>
      </c>
      <c r="F11" s="166" cm="1">
        <f t="array" ref="F11">SUM(_xlfn._xlws.FILTER(Deductions[Bonus],(Deductions[PARTNER]=A11)*(Deductions[Type]="TRANSDEV"),0))</f>
        <v>0</v>
      </c>
      <c r="G11" s="167" cm="1">
        <f t="array" ref="G11">SUM(_xlfn._xlws.FILTER(Deductions[[Reimbursement ]],(Deductions[PARTNER]=A11)*(Deductions[Type]="TRANSDEV"),0))</f>
        <v>0</v>
      </c>
      <c r="H11" s="166" cm="1">
        <f t="array" ref="H11">SUM(_xlfn._xlws.FILTER(Deductions[Credentials],(Deductions[PARTNER]=A11)*(Deductions[Type]="TRANSDEV"),0))</f>
        <v>0</v>
      </c>
      <c r="I11" s="168" cm="1">
        <f t="array" ref="I11">SUM(_xlfn._xlws.FILTER(Deductions[LIFT LEASE TOTAL],(Deductions[PARTNER]=A11)*(Deductions[Type]="TRANSDEV"),0))</f>
        <v>370</v>
      </c>
      <c r="J11" s="166" cm="1">
        <f t="array" ref="J11">SUM(_xlfn._xlws.FILTER(Deductions[Violation],(Deductions[PARTNER]=A11)*(Deductions[Type]="TRANSDEV"),0))</f>
        <v>0</v>
      </c>
      <c r="K11" s="166">
        <f>SUMIF(TrapezeReport[PARTNER NAME],A11,TrapezeReport[Cash Fares Collected])</f>
        <v>39.199999999999996</v>
      </c>
      <c r="L11" s="166" cm="1">
        <f t="array" ref="L11">SUM(_xlfn._xlws.FILTER(Deductions[Other Deduction],(Deductions[PARTNER]=A11)*(Deductions[Type]="TRANSDEV"),0))</f>
        <v>0</v>
      </c>
      <c r="M11" s="166" cm="1">
        <f t="array" ref="M11">IF(SUM(_xlfn._xlws.FILTER(CoastTransactions[Amount],CoastTransactions[PARTNER NAME]=A11,0))-SUM(_xlfn._xlws.FILTER(TrapezeFuel[Calculated Fuel Cost],TrapezeFuel[PARTNER NAME]=A11,0))&lt;0,0,SUM(_xlfn._xlws.FILTER(CoastTransactions[Amount],CoastTransactions[PARTNER NAME]=A11,0))-SUM(_xlfn._xlws.FILTER(TrapezeFuel[Calculated Fuel Cost],TrapezeFuel[PARTNER NAME]=A11,0)))</f>
        <v>118.54139999999995</v>
      </c>
      <c r="N11" s="169">
        <f t="shared" si="0"/>
        <v>2417.7586000000001</v>
      </c>
    </row>
    <row r="12" spans="1:17" ht="15" customHeight="1" x14ac:dyDescent="0.25">
      <c r="A12" s="69" t="str">
        <v>VAMONOS TRANSPORTATION LLC</v>
      </c>
      <c r="B12" s="28">
        <v>10027</v>
      </c>
      <c r="C12" s="29" t="str">
        <v>mpagi0752@gmail.com</v>
      </c>
      <c r="D12" s="166">
        <f>IFERROR(SUMIF(TrapezeReport[PARTNER NAME],A12,TrapezeReport[TTL Rev]),0)</f>
        <v>2945.5</v>
      </c>
      <c r="E12" s="167" cm="1">
        <f t="array" ref="E12">SUM(_xlfn._xlws.FILTER(Deductions[[Other Income ]],(Deductions[PARTNER]=A12)*(Deductions[Type]="TRANSDEV"),0))</f>
        <v>0</v>
      </c>
      <c r="F12" s="166" cm="1">
        <f t="array" ref="F12">SUM(_xlfn._xlws.FILTER(Deductions[Bonus],(Deductions[PARTNER]=A12)*(Deductions[Type]="TRANSDEV"),0))</f>
        <v>0</v>
      </c>
      <c r="G12" s="167" cm="1">
        <f t="array" ref="G12">SUM(_xlfn._xlws.FILTER(Deductions[[Reimbursement ]],(Deductions[PARTNER]=A12)*(Deductions[Type]="TRANSDEV"),0))</f>
        <v>0</v>
      </c>
      <c r="H12" s="166" cm="1">
        <f t="array" ref="H12">SUM(_xlfn._xlws.FILTER(Deductions[Credentials],(Deductions[PARTNER]=A12)*(Deductions[Type]="TRANSDEV"),0))</f>
        <v>0</v>
      </c>
      <c r="I12" s="168" cm="1">
        <f t="array" ref="I12">SUM(_xlfn._xlws.FILTER(Deductions[LIFT LEASE TOTAL],(Deductions[PARTNER]=A12)*(Deductions[Type]="TRANSDEV"),0))</f>
        <v>370</v>
      </c>
      <c r="J12" s="166" cm="1">
        <f t="array" ref="J12">SUM(_xlfn._xlws.FILTER(Deductions[Violation],(Deductions[PARTNER]=A12)*(Deductions[Type]="TRANSDEV"),0))</f>
        <v>0</v>
      </c>
      <c r="K12" s="166">
        <f>SUMIF(TrapezeReport[PARTNER NAME],A12,TrapezeReport[Cash Fares Collected])</f>
        <v>33.599999999999994</v>
      </c>
      <c r="L12" s="166" cm="1">
        <f t="array" ref="L12">SUM(_xlfn._xlws.FILTER(Deductions[Other Deduction],(Deductions[PARTNER]=A12)*(Deductions[Type]="TRANSDEV"),0))</f>
        <v>0</v>
      </c>
      <c r="M12" s="166" cm="1">
        <f t="array" ref="M12">IF(SUM(_xlfn._xlws.FILTER(CoastTransactions[Amount],CoastTransactions[PARTNER NAME]=A12,0))-SUM(_xlfn._xlws.FILTER(TrapezeFuel[Calculated Fuel Cost],TrapezeFuel[PARTNER NAME]=A12,0))&lt;0,0,SUM(_xlfn._xlws.FILTER(CoastTransactions[Amount],CoastTransactions[PARTNER NAME]=A12,0))-SUM(_xlfn._xlws.FILTER(TrapezeFuel[Calculated Fuel Cost],TrapezeFuel[PARTNER NAME]=A12,0)))</f>
        <v>191.11079999999993</v>
      </c>
      <c r="N12" s="169">
        <f t="shared" si="0"/>
        <v>2350.7892000000002</v>
      </c>
    </row>
    <row r="13" spans="1:17" ht="15" customHeight="1" x14ac:dyDescent="0.25">
      <c r="A13" s="69" t="str">
        <v>ANGELES TRANSPORTATION, LLC</v>
      </c>
      <c r="B13" s="28">
        <v>1003</v>
      </c>
      <c r="C13" s="29" t="str">
        <v>angelestransportationllc@gmail.com</v>
      </c>
      <c r="D13" s="166">
        <f>IFERROR(SUMIF(TrapezeReport[PARTNER NAME],A13,TrapezeReport[TTL Rev]),0)</f>
        <v>2580</v>
      </c>
      <c r="E13" s="167" cm="1">
        <f t="array" ref="E13">SUM(_xlfn._xlws.FILTER(Deductions[[Other Income ]],(Deductions[PARTNER]=A13)*(Deductions[Type]="TRANSDEV"),0))</f>
        <v>0</v>
      </c>
      <c r="F13" s="166" cm="1">
        <f t="array" ref="F13">SUM(_xlfn._xlws.FILTER(Deductions[Bonus],(Deductions[PARTNER]=A13)*(Deductions[Type]="TRANSDEV"),0))</f>
        <v>0</v>
      </c>
      <c r="G13" s="167" cm="1">
        <f t="array" ref="G13">SUM(_xlfn._xlws.FILTER(Deductions[[Reimbursement ]],(Deductions[PARTNER]=A13)*(Deductions[Type]="TRANSDEV"),0))</f>
        <v>0</v>
      </c>
      <c r="H13" s="166" cm="1">
        <f t="array" ref="H13">SUM(_xlfn._xlws.FILTER(Deductions[Credentials],(Deductions[PARTNER]=A13)*(Deductions[Type]="TRANSDEV"),0))</f>
        <v>0</v>
      </c>
      <c r="I13" s="168" cm="1">
        <f t="array" ref="I13">SUM(_xlfn._xlws.FILTER(Deductions[LIFT LEASE TOTAL],(Deductions[PARTNER]=A13)*(Deductions[Type]="TRANSDEV"),0))</f>
        <v>370</v>
      </c>
      <c r="J13" s="166" cm="1">
        <f t="array" ref="J13">SUM(_xlfn._xlws.FILTER(Deductions[Violation],(Deductions[PARTNER]=A13)*(Deductions[Type]="TRANSDEV"),0))</f>
        <v>0</v>
      </c>
      <c r="K13" s="166">
        <f>SUMIF(TrapezeReport[PARTNER NAME],A13,TrapezeReport[Cash Fares Collected])</f>
        <v>22.400000000000002</v>
      </c>
      <c r="L13" s="166" cm="1">
        <f t="array" ref="L13">SUM(_xlfn._xlws.FILTER(Deductions[Other Deduction],(Deductions[PARTNER]=A13)*(Deductions[Type]="TRANSDEV"),0))</f>
        <v>0</v>
      </c>
      <c r="M13" s="166" cm="1">
        <f t="array" ref="M13">IF(SUM(_xlfn._xlws.FILTER(CoastTransactions[Amount],CoastTransactions[PARTNER NAME]=A13,0))-SUM(_xlfn._xlws.FILTER(TrapezeFuel[Calculated Fuel Cost],TrapezeFuel[PARTNER NAME]=A13,0))&lt;0,0,SUM(_xlfn._xlws.FILTER(CoastTransactions[Amount],CoastTransactions[PARTNER NAME]=A13,0))-SUM(_xlfn._xlws.FILTER(TrapezeFuel[Calculated Fuel Cost],TrapezeFuel[PARTNER NAME]=A13,0)))</f>
        <v>42.183100000000024</v>
      </c>
      <c r="N13" s="169">
        <f t="shared" si="0"/>
        <v>2145.4169000000002</v>
      </c>
    </row>
    <row r="14" spans="1:17" ht="15" customHeight="1" x14ac:dyDescent="0.25">
      <c r="A14" s="69" t="str">
        <v>SANVIN VOYAGE LLC</v>
      </c>
      <c r="B14" s="28">
        <v>10025</v>
      </c>
      <c r="C14" s="29" t="str">
        <v>arviroby83@gmail.com</v>
      </c>
      <c r="D14" s="166">
        <f>IFERROR(SUMIF(TrapezeReport[PARTNER NAME],A14,TrapezeReport[TTL Rev]),0)</f>
        <v>2644.5</v>
      </c>
      <c r="E14" s="167" cm="1">
        <f t="array" ref="E14">SUM(_xlfn._xlws.FILTER(Deductions[[Other Income ]],(Deductions[PARTNER]=A14)*(Deductions[Type]="TRANSDEV"),0))</f>
        <v>0</v>
      </c>
      <c r="F14" s="166" cm="1">
        <f t="array" ref="F14">SUM(_xlfn._xlws.FILTER(Deductions[Bonus],(Deductions[PARTNER]=A14)*(Deductions[Type]="TRANSDEV"),0))</f>
        <v>0</v>
      </c>
      <c r="G14" s="167" cm="1">
        <f t="array" ref="G14">SUM(_xlfn._xlws.FILTER(Deductions[[Reimbursement ]],(Deductions[PARTNER]=A14)*(Deductions[Type]="TRANSDEV"),0))</f>
        <v>0</v>
      </c>
      <c r="H14" s="166" cm="1">
        <f t="array" ref="H14">SUM(_xlfn._xlws.FILTER(Deductions[Credentials],(Deductions[PARTNER]=A14)*(Deductions[Type]="TRANSDEV"),0))</f>
        <v>0</v>
      </c>
      <c r="I14" s="168" cm="1">
        <f t="array" ref="I14">SUM(_xlfn._xlws.FILTER(Deductions[LIFT LEASE TOTAL],(Deductions[PARTNER]=A14)*(Deductions[Type]="TRANSDEV"),0))</f>
        <v>370</v>
      </c>
      <c r="J14" s="166" cm="1">
        <f t="array" ref="J14">SUM(_xlfn._xlws.FILTER(Deductions[Violation],(Deductions[PARTNER]=A14)*(Deductions[Type]="TRANSDEV"),0))</f>
        <v>0</v>
      </c>
      <c r="K14" s="166">
        <f>SUMIF(TrapezeReport[PARTNER NAME],A14,TrapezeReport[Cash Fares Collected])</f>
        <v>33.6</v>
      </c>
      <c r="L14" s="166" cm="1">
        <f t="array" ref="L14">SUM(_xlfn._xlws.FILTER(Deductions[Other Deduction],(Deductions[PARTNER]=A14)*(Deductions[Type]="TRANSDEV"),0))</f>
        <v>0</v>
      </c>
      <c r="M14" s="166" cm="1">
        <f t="array" ref="M14">IF(SUM(_xlfn._xlws.FILTER(CoastTransactions[Amount],CoastTransactions[PARTNER NAME]=A14,0))-SUM(_xlfn._xlws.FILTER(TrapezeFuel[Calculated Fuel Cost],TrapezeFuel[PARTNER NAME]=A14,0))&lt;0,0,SUM(_xlfn._xlws.FILTER(CoastTransactions[Amount],CoastTransactions[PARTNER NAME]=A14,0))-SUM(_xlfn._xlws.FILTER(TrapezeFuel[Calculated Fuel Cost],TrapezeFuel[PARTNER NAME]=A14,0)))</f>
        <v>52.848000000000013</v>
      </c>
      <c r="N14" s="169">
        <f t="shared" si="0"/>
        <v>2188.0520000000001</v>
      </c>
    </row>
    <row r="15" spans="1:17" ht="15" customHeight="1" x14ac:dyDescent="0.25">
      <c r="A15" s="69" t="str">
        <v>EDIS OSMANOVIC</v>
      </c>
      <c r="B15" s="28">
        <v>10028</v>
      </c>
      <c r="C15" s="29" t="str">
        <v>edis79osmanovic@gmail.com</v>
      </c>
      <c r="D15" s="166">
        <f>IFERROR(SUMIF(TrapezeReport[PARTNER NAME],A15,TrapezeReport[TTL Rev]),0)</f>
        <v>2752</v>
      </c>
      <c r="E15" s="167" cm="1">
        <f t="array" ref="E15">SUM(_xlfn._xlws.FILTER(Deductions[[Other Income ]],(Deductions[PARTNER]=A15)*(Deductions[Type]="TRANSDEV"),0))</f>
        <v>0</v>
      </c>
      <c r="F15" s="166" cm="1">
        <f t="array" ref="F15">SUM(_xlfn._xlws.FILTER(Deductions[Bonus],(Deductions[PARTNER]=A15)*(Deductions[Type]="TRANSDEV"),0))</f>
        <v>0</v>
      </c>
      <c r="G15" s="167" cm="1">
        <f t="array" ref="G15">SUM(_xlfn._xlws.FILTER(Deductions[[Reimbursement ]],(Deductions[PARTNER]=A15)*(Deductions[Type]="TRANSDEV"),0))</f>
        <v>0</v>
      </c>
      <c r="H15" s="166" cm="1">
        <f t="array" ref="H15">SUM(_xlfn._xlws.FILTER(Deductions[Credentials],(Deductions[PARTNER]=A15)*(Deductions[Type]="TRANSDEV"),0))</f>
        <v>0</v>
      </c>
      <c r="I15" s="168" cm="1">
        <f t="array" ref="I15">SUM(_xlfn._xlws.FILTER(Deductions[LIFT LEASE TOTAL],(Deductions[PARTNER]=A15)*(Deductions[Type]="TRANSDEV"),0))</f>
        <v>370</v>
      </c>
      <c r="J15" s="166" cm="1">
        <f t="array" ref="J15">SUM(_xlfn._xlws.FILTER(Deductions[Violation],(Deductions[PARTNER]=A15)*(Deductions[Type]="TRANSDEV"),0))</f>
        <v>0</v>
      </c>
      <c r="K15" s="166">
        <f>SUMIF(TrapezeReport[PARTNER NAME],A15,TrapezeReport[Cash Fares Collected])</f>
        <v>39.200000000000003</v>
      </c>
      <c r="L15" s="166" cm="1">
        <f t="array" ref="L15">SUM(_xlfn._xlws.FILTER(Deductions[Other Deduction],(Deductions[PARTNER]=A15)*(Deductions[Type]="TRANSDEV"),0))</f>
        <v>0</v>
      </c>
      <c r="M15" s="166" cm="1">
        <f t="array" ref="M15">IF(SUM(_xlfn._xlws.FILTER(CoastTransactions[Amount],CoastTransactions[PARTNER NAME]=A15,0))-SUM(_xlfn._xlws.FILTER(TrapezeFuel[Calculated Fuel Cost],TrapezeFuel[PARTNER NAME]=A15,0))&lt;0,0,SUM(_xlfn._xlws.FILTER(CoastTransactions[Amount],CoastTransactions[PARTNER NAME]=A15,0))-SUM(_xlfn._xlws.FILTER(TrapezeFuel[Calculated Fuel Cost],TrapezeFuel[PARTNER NAME]=A15,0)))</f>
        <v>11.239999999999952</v>
      </c>
      <c r="N15" s="169">
        <f t="shared" si="0"/>
        <v>2331.56</v>
      </c>
    </row>
    <row r="16" spans="1:17" x14ac:dyDescent="0.25">
      <c r="A16" s="69"/>
      <c r="B16" s="28"/>
      <c r="C16" s="29"/>
      <c r="D16" s="166">
        <f>IFERROR(SUMIF(TrapezeReport[PARTNER NAME],A16,TrapezeReport[TTL Rev]),0)</f>
        <v>0</v>
      </c>
      <c r="E16" s="167" cm="1">
        <f t="array" ref="E16">SUM(_xlfn._xlws.FILTER(Deductions[[Other Income ]],(Deductions[PARTNER]=A16)*(Deductions[Type]="TRANSDEV"),0))</f>
        <v>0</v>
      </c>
      <c r="F16" s="166" cm="1">
        <f t="array" ref="F16">SUM(_xlfn._xlws.FILTER(Deductions[Bonus],(Deductions[PARTNER]=A16)*(Deductions[Type]="TRANSDEV"),0))</f>
        <v>0</v>
      </c>
      <c r="G16" s="167" cm="1">
        <f t="array" ref="G16">SUM(_xlfn._xlws.FILTER(Deductions[[Reimbursement ]],(Deductions[PARTNER]=A16)*(Deductions[Type]="TRANSDEV"),0))</f>
        <v>0</v>
      </c>
      <c r="H16" s="166" cm="1">
        <f t="array" ref="H16">SUM(_xlfn._xlws.FILTER(Deductions[Credentials],(Deductions[PARTNER]=A16)*(Deductions[Type]="TRANSDEV"),0))</f>
        <v>0</v>
      </c>
      <c r="I16" s="168" cm="1">
        <f t="array" ref="I16">SUM(_xlfn._xlws.FILTER(Deductions[LIFT LEASE TOTAL],(Deductions[PARTNER]=A16)*(Deductions[Type]="TRANSDEV"),0))</f>
        <v>0</v>
      </c>
      <c r="J16" s="166" cm="1">
        <f t="array" ref="J16">SUM(_xlfn._xlws.FILTER(Deductions[Violation],(Deductions[PARTNER]=A16)*(Deductions[Type]="TRANSDEV"),0))</f>
        <v>0</v>
      </c>
      <c r="K16" s="166">
        <f>SUMIF(TrapezeReport[PARTNER NAME],A16,TrapezeReport[Cash Fares Collected])</f>
        <v>0</v>
      </c>
      <c r="L16" s="166" cm="1">
        <f t="array" ref="L16">SUM(_xlfn._xlws.FILTER(Deductions[Other Deduction],(Deductions[PARTNER]=A16)*(Deductions[Type]="TRANSDEV"),0))</f>
        <v>0</v>
      </c>
      <c r="M16" s="166" cm="1">
        <f t="array" ref="M16">IF(SUM(_xlfn._xlws.FILTER(CoastTransactions[Amount],CoastTransactions[PARTNER NAME]=A16,0))-SUM(_xlfn._xlws.FILTER(TrapezeFuel[Calculated Fuel Cost],TrapezeFuel[PARTNER NAME]=A16,0))&lt;0,0,SUM(_xlfn._xlws.FILTER(CoastTransactions[Amount],CoastTransactions[PARTNER NAME]=A16,0))-SUM(_xlfn._xlws.FILTER(TrapezeFuel[Calculated Fuel Cost],TrapezeFuel[PARTNER NAME]=A16,0)))</f>
        <v>0</v>
      </c>
      <c r="N16" s="169">
        <f t="shared" si="0"/>
        <v>0</v>
      </c>
    </row>
    <row r="17" spans="1:16" x14ac:dyDescent="0.25">
      <c r="A17" s="69"/>
      <c r="B17" s="23"/>
      <c r="C17" s="10"/>
      <c r="D17" s="166">
        <f>IFERROR(SUMIF(TrapezeReport[PARTNER NAME],A17,TrapezeReport[TTL Rev]),0)</f>
        <v>0</v>
      </c>
      <c r="E17" s="167" cm="1">
        <f t="array" ref="E17">SUM(_xlfn._xlws.FILTER(Deductions[[Other Income ]],(Deductions[PARTNER]=A17)*(Deductions[Type]="TRANSDEV"),0))</f>
        <v>0</v>
      </c>
      <c r="F17" s="166" cm="1">
        <f t="array" ref="F17">SUM(_xlfn._xlws.FILTER(Deductions[Bonus],(Deductions[PARTNER]=A17)*(Deductions[Type]="TRANSDEV"),0))</f>
        <v>0</v>
      </c>
      <c r="G17" s="167" cm="1">
        <f t="array" ref="G17">SUM(_xlfn._xlws.FILTER(Deductions[[Reimbursement ]],(Deductions[PARTNER]=A17)*(Deductions[Type]="TRANSDEV"),0))</f>
        <v>0</v>
      </c>
      <c r="H17" s="166" cm="1">
        <f t="array" ref="H17">SUM(_xlfn._xlws.FILTER(Deductions[Credentials],(Deductions[PARTNER]=A17)*(Deductions[Type]="TRANSDEV"),0))</f>
        <v>0</v>
      </c>
      <c r="I17" s="168" cm="1">
        <f t="array" ref="I17">SUM(_xlfn._xlws.FILTER(Deductions[LIFT LEASE TOTAL],(Deductions[PARTNER]=A17)*(Deductions[Type]="TRANSDEV"),0))</f>
        <v>0</v>
      </c>
      <c r="J17" s="166" cm="1">
        <f t="array" ref="J17">SUM(_xlfn._xlws.FILTER(Deductions[Violation],(Deductions[PARTNER]=A17)*(Deductions[Type]="TRANSDEV"),0))</f>
        <v>0</v>
      </c>
      <c r="K17" s="166">
        <f>SUMIF(TrapezeReport[PARTNER NAME],A17,TrapezeReport[Cash Fares Collected])</f>
        <v>0</v>
      </c>
      <c r="L17" s="166" cm="1">
        <f t="array" ref="L17">SUM(_xlfn._xlws.FILTER(Deductions[Other Deduction],(Deductions[PARTNER]=A17)*(Deductions[Type]="TRANSDEV"),0))</f>
        <v>0</v>
      </c>
      <c r="M17" s="166" cm="1">
        <f t="array" ref="M17">IF(SUM(_xlfn._xlws.FILTER(CoastTransactions[Amount],CoastTransactions[PARTNER NAME]=A17,0))-SUM(_xlfn._xlws.FILTER(TrapezeFuel[Calculated Fuel Cost],TrapezeFuel[PARTNER NAME]=A17,0))&lt;0,0,SUM(_xlfn._xlws.FILTER(CoastTransactions[Amount],CoastTransactions[PARTNER NAME]=A17,0))-SUM(_xlfn._xlws.FILTER(TrapezeFuel[Calculated Fuel Cost],TrapezeFuel[PARTNER NAME]=A17,0)))</f>
        <v>0</v>
      </c>
      <c r="N17" s="169">
        <f t="shared" si="0"/>
        <v>0</v>
      </c>
    </row>
    <row r="18" spans="1:16" x14ac:dyDescent="0.25">
      <c r="A18" s="69"/>
      <c r="B18" s="23"/>
      <c r="C18" s="10"/>
      <c r="D18" s="166">
        <f>IFERROR(SUMIF(TrapezeReport[PARTNER NAME],A18,TrapezeReport[TTL Rev]),0)</f>
        <v>0</v>
      </c>
      <c r="E18" s="167" cm="1">
        <f t="array" ref="E18">SUM(_xlfn._xlws.FILTER(Deductions[[Other Income ]],(Deductions[PARTNER]=A18)*(Deductions[Type]="TRANSDEV"),0))</f>
        <v>0</v>
      </c>
      <c r="F18" s="166" cm="1">
        <f t="array" ref="F18">SUM(_xlfn._xlws.FILTER(Deductions[Bonus],(Deductions[PARTNER]=A18)*(Deductions[Type]="TRANSDEV"),0))</f>
        <v>0</v>
      </c>
      <c r="G18" s="167" cm="1">
        <f t="array" ref="G18">SUM(_xlfn._xlws.FILTER(Deductions[[Reimbursement ]],(Deductions[PARTNER]=A18)*(Deductions[Type]="TRANSDEV"),0))</f>
        <v>0</v>
      </c>
      <c r="H18" s="166" cm="1">
        <f t="array" ref="H18">SUM(_xlfn._xlws.FILTER(Deductions[Credentials],(Deductions[PARTNER]=A18)*(Deductions[Type]="TRANSDEV"),0))</f>
        <v>0</v>
      </c>
      <c r="I18" s="168" cm="1">
        <f t="array" ref="I18">SUM(_xlfn._xlws.FILTER(Deductions[LIFT LEASE TOTAL],(Deductions[PARTNER]=A18)*(Deductions[Type]="TRANSDEV"),0))</f>
        <v>0</v>
      </c>
      <c r="J18" s="166" cm="1">
        <f t="array" ref="J18">SUM(_xlfn._xlws.FILTER(Deductions[Violation],(Deductions[PARTNER]=A18)*(Deductions[Type]="TRANSDEV"),0))</f>
        <v>0</v>
      </c>
      <c r="K18" s="166">
        <f>SUMIF(TrapezeReport[PARTNER NAME],A18,TrapezeReport[Cash Fares Collected])</f>
        <v>0</v>
      </c>
      <c r="L18" s="166" cm="1">
        <f t="array" ref="L18">SUM(_xlfn._xlws.FILTER(Deductions[Other Deduction],(Deductions[PARTNER]=A18)*(Deductions[Type]="TRANSDEV"),0))</f>
        <v>0</v>
      </c>
      <c r="M18" s="166" cm="1">
        <f t="array" ref="M18">IF(SUM(_xlfn._xlws.FILTER(CoastTransactions[Amount],CoastTransactions[PARTNER NAME]=A18,0))-SUM(_xlfn._xlws.FILTER(TrapezeFuel[Calculated Fuel Cost],TrapezeFuel[PARTNER NAME]=A18,0))&lt;0,0,SUM(_xlfn._xlws.FILTER(CoastTransactions[Amount],CoastTransactions[PARTNER NAME]=A18,0))-SUM(_xlfn._xlws.FILTER(TrapezeFuel[Calculated Fuel Cost],TrapezeFuel[PARTNER NAME]=A18,0)))</f>
        <v>0</v>
      </c>
      <c r="N18" s="169">
        <f t="shared" si="0"/>
        <v>0</v>
      </c>
    </row>
    <row r="19" spans="1:16" x14ac:dyDescent="0.25">
      <c r="A19" s="69"/>
      <c r="B19" s="23"/>
      <c r="C19" s="10"/>
      <c r="D19" s="166">
        <f>IFERROR(SUMIF(TrapezeReport[PARTNER NAME],A19,TrapezeReport[TTL Rev]),0)</f>
        <v>0</v>
      </c>
      <c r="E19" s="167" cm="1">
        <f t="array" ref="E19">SUM(_xlfn._xlws.FILTER(Deductions[[Other Income ]],(Deductions[PARTNER]=A19)*(Deductions[Type]="TRANSDEV"),0))</f>
        <v>0</v>
      </c>
      <c r="F19" s="166" cm="1">
        <f t="array" ref="F19">SUM(_xlfn._xlws.FILTER(Deductions[Bonus],(Deductions[PARTNER]=A19)*(Deductions[Type]="TRANSDEV"),0))</f>
        <v>0</v>
      </c>
      <c r="G19" s="167" cm="1">
        <f t="array" ref="G19">SUM(_xlfn._xlws.FILTER(Deductions[[Reimbursement ]],(Deductions[PARTNER]=A19)*(Deductions[Type]="TRANSDEV"),0))</f>
        <v>0</v>
      </c>
      <c r="H19" s="166" cm="1">
        <f t="array" ref="H19">SUM(_xlfn._xlws.FILTER(Deductions[Credentials],(Deductions[PARTNER]=A19)*(Deductions[Type]="TRANSDEV"),0))</f>
        <v>0</v>
      </c>
      <c r="I19" s="168" cm="1">
        <f t="array" ref="I19">SUM(_xlfn._xlws.FILTER(Deductions[LIFT LEASE TOTAL],(Deductions[PARTNER]=A19)*(Deductions[Type]="TRANSDEV"),0))</f>
        <v>0</v>
      </c>
      <c r="J19" s="166" cm="1">
        <f t="array" ref="J19">SUM(_xlfn._xlws.FILTER(Deductions[Violation],(Deductions[PARTNER]=A19)*(Deductions[Type]="TRANSDEV"),0))</f>
        <v>0</v>
      </c>
      <c r="K19" s="166">
        <f>SUMIF(TrapezeReport[PARTNER NAME],A19,TrapezeReport[Cash Fares Collected])</f>
        <v>0</v>
      </c>
      <c r="L19" s="166" cm="1">
        <f t="array" ref="L19">SUM(_xlfn._xlws.FILTER(Deductions[Other Deduction],(Deductions[PARTNER]=A19)*(Deductions[Type]="TRANSDEV"),0))</f>
        <v>0</v>
      </c>
      <c r="M19" s="166" cm="1">
        <f t="array" ref="M19">IF(SUM(_xlfn._xlws.FILTER(CoastTransactions[Amount],CoastTransactions[PARTNER NAME]=A19,0))-SUM(_xlfn._xlws.FILTER(TrapezeFuel[Calculated Fuel Cost],TrapezeFuel[PARTNER NAME]=A19,0))&lt;0,0,SUM(_xlfn._xlws.FILTER(CoastTransactions[Amount],CoastTransactions[PARTNER NAME]=A19,0))-SUM(_xlfn._xlws.FILTER(TrapezeFuel[Calculated Fuel Cost],TrapezeFuel[PARTNER NAME]=A19,0)))</f>
        <v>0</v>
      </c>
      <c r="N19" s="169">
        <f t="shared" si="0"/>
        <v>0</v>
      </c>
    </row>
    <row r="20" spans="1:16" x14ac:dyDescent="0.25">
      <c r="A20" s="69"/>
      <c r="B20" s="23"/>
      <c r="C20" s="10"/>
      <c r="D20" s="166">
        <f>IFERROR(SUMIF(TrapezeReport[PARTNER NAME],A20,TrapezeReport[TTL Rev]),0)</f>
        <v>0</v>
      </c>
      <c r="E20" s="167" cm="1">
        <f t="array" ref="E20">SUM(_xlfn._xlws.FILTER(Deductions[[Other Income ]],(Deductions[PARTNER]=A20)*(Deductions[Type]="TRANSDEV"),0))</f>
        <v>0</v>
      </c>
      <c r="F20" s="166" cm="1">
        <f t="array" ref="F20">SUM(_xlfn._xlws.FILTER(Deductions[Bonus],(Deductions[PARTNER]=A20)*(Deductions[Type]="TRANSDEV"),0))</f>
        <v>0</v>
      </c>
      <c r="G20" s="167" cm="1">
        <f t="array" ref="G20">SUM(_xlfn._xlws.FILTER(Deductions[[Reimbursement ]],(Deductions[PARTNER]=A20)*(Deductions[Type]="TRANSDEV"),0))</f>
        <v>0</v>
      </c>
      <c r="H20" s="166" cm="1">
        <f t="array" ref="H20">SUM(_xlfn._xlws.FILTER(Deductions[Credentials],(Deductions[PARTNER]=A20)*(Deductions[Type]="TRANSDEV"),0))</f>
        <v>0</v>
      </c>
      <c r="I20" s="168" cm="1">
        <f t="array" ref="I20">SUM(_xlfn._xlws.FILTER(Deductions[LIFT LEASE TOTAL],(Deductions[PARTNER]=A20)*(Deductions[Type]="TRANSDEV"),0))</f>
        <v>0</v>
      </c>
      <c r="J20" s="166" cm="1">
        <f t="array" ref="J20">SUM(_xlfn._xlws.FILTER(Deductions[Violation],(Deductions[PARTNER]=A20)*(Deductions[Type]="TRANSDEV"),0))</f>
        <v>0</v>
      </c>
      <c r="K20" s="166">
        <f>SUMIF(TrapezeReport[PARTNER NAME],A20,TrapezeReport[Cash Fares Collected])</f>
        <v>0</v>
      </c>
      <c r="L20" s="166" cm="1">
        <f t="array" ref="L20">SUM(_xlfn._xlws.FILTER(Deductions[Other Deduction],(Deductions[PARTNER]=A20)*(Deductions[Type]="TRANSDEV"),0))</f>
        <v>0</v>
      </c>
      <c r="M20" s="166" cm="1">
        <f t="array" ref="M20">IF(SUM(_xlfn._xlws.FILTER(CoastTransactions[Amount],CoastTransactions[PARTNER NAME]=A20,0))-SUM(_xlfn._xlws.FILTER(TrapezeFuel[Calculated Fuel Cost],TrapezeFuel[PARTNER NAME]=A20,0))&lt;0,0,SUM(_xlfn._xlws.FILTER(CoastTransactions[Amount],CoastTransactions[PARTNER NAME]=A20,0))-SUM(_xlfn._xlws.FILTER(TrapezeFuel[Calculated Fuel Cost],TrapezeFuel[PARTNER NAME]=A20,0)))</f>
        <v>0</v>
      </c>
      <c r="N20" s="169">
        <f t="shared" si="0"/>
        <v>0</v>
      </c>
    </row>
    <row r="21" spans="1:16" x14ac:dyDescent="0.25">
      <c r="A21" s="69"/>
      <c r="B21" s="23"/>
      <c r="C21" s="10"/>
      <c r="D21" s="166">
        <f>IFERROR(SUMIF(TrapezeReport[PARTNER NAME],A21,TrapezeReport[TTL Rev]),0)</f>
        <v>0</v>
      </c>
      <c r="E21" s="167" cm="1">
        <f t="array" ref="E21">SUM(_xlfn._xlws.FILTER(Deductions[[Other Income ]],(Deductions[PARTNER]=A21)*(Deductions[Type]="TRANSDEV"),0))</f>
        <v>0</v>
      </c>
      <c r="F21" s="166" cm="1">
        <f t="array" ref="F21">SUM(_xlfn._xlws.FILTER(Deductions[Bonus],(Deductions[PARTNER]=A21)*(Deductions[Type]="TRANSDEV"),0))</f>
        <v>0</v>
      </c>
      <c r="G21" s="167" cm="1">
        <f t="array" ref="G21">SUM(_xlfn._xlws.FILTER(Deductions[[Reimbursement ]],(Deductions[PARTNER]=A21)*(Deductions[Type]="TRANSDEV"),0))</f>
        <v>0</v>
      </c>
      <c r="H21" s="166" cm="1">
        <f t="array" ref="H21">SUM(_xlfn._xlws.FILTER(Deductions[Credentials],(Deductions[PARTNER]=A21)*(Deductions[Type]="TRANSDEV"),0))</f>
        <v>0</v>
      </c>
      <c r="I21" s="168" cm="1">
        <f t="array" ref="I21">SUM(_xlfn._xlws.FILTER(Deductions[LIFT LEASE TOTAL],(Deductions[PARTNER]=A21)*(Deductions[Type]="TRANSDEV"),0))</f>
        <v>0</v>
      </c>
      <c r="J21" s="166" cm="1">
        <f t="array" ref="J21">SUM(_xlfn._xlws.FILTER(Deductions[Violation],(Deductions[PARTNER]=A21)*(Deductions[Type]="TRANSDEV"),0))</f>
        <v>0</v>
      </c>
      <c r="K21" s="166">
        <f>SUMIF(TrapezeReport[PARTNER NAME],A21,TrapezeReport[Cash Fares Collected])</f>
        <v>0</v>
      </c>
      <c r="L21" s="166" cm="1">
        <f t="array" ref="L21">SUM(_xlfn._xlws.FILTER(Deductions[Other Deduction],(Deductions[PARTNER]=A21)*(Deductions[Type]="TRANSDEV"),0))</f>
        <v>0</v>
      </c>
      <c r="M21" s="166" cm="1">
        <f t="array" ref="M21">IF(SUM(_xlfn._xlws.FILTER(CoastTransactions[Amount],CoastTransactions[PARTNER NAME]=A21,0))-SUM(_xlfn._xlws.FILTER(TrapezeFuel[Calculated Fuel Cost],TrapezeFuel[PARTNER NAME]=A21,0))&lt;0,0,SUM(_xlfn._xlws.FILTER(CoastTransactions[Amount],CoastTransactions[PARTNER NAME]=A21,0))-SUM(_xlfn._xlws.FILTER(TrapezeFuel[Calculated Fuel Cost],TrapezeFuel[PARTNER NAME]=A21,0)))</f>
        <v>0</v>
      </c>
      <c r="N21" s="169">
        <f t="shared" si="0"/>
        <v>0</v>
      </c>
    </row>
    <row r="22" spans="1:16" x14ac:dyDescent="0.25">
      <c r="A22" s="69"/>
      <c r="B22" s="23"/>
      <c r="C22" s="10"/>
      <c r="D22" s="166">
        <f>IFERROR(SUMIF(TrapezeReport[PARTNER NAME],A22,TrapezeReport[TTL Rev]),0)</f>
        <v>0</v>
      </c>
      <c r="E22" s="167" cm="1">
        <f t="array" ref="E22">SUM(_xlfn._xlws.FILTER(Deductions[[Other Income ]],(Deductions[PARTNER]=A22)*(Deductions[Type]="TRANSDEV"),0))</f>
        <v>0</v>
      </c>
      <c r="F22" s="166" cm="1">
        <f t="array" ref="F22">SUM(_xlfn._xlws.FILTER(Deductions[Bonus],(Deductions[PARTNER]=A22)*(Deductions[Type]="TRANSDEV"),0))</f>
        <v>0</v>
      </c>
      <c r="G22" s="167" cm="1">
        <f t="array" ref="G22">SUM(_xlfn._xlws.FILTER(Deductions[[Reimbursement ]],(Deductions[PARTNER]=A22)*(Deductions[Type]="TRANSDEV"),0))</f>
        <v>0</v>
      </c>
      <c r="H22" s="166" cm="1">
        <f t="array" ref="H22">SUM(_xlfn._xlws.FILTER(Deductions[Credentials],(Deductions[PARTNER]=A22)*(Deductions[Type]="TRANSDEV"),0))</f>
        <v>0</v>
      </c>
      <c r="I22" s="168" cm="1">
        <f t="array" ref="I22">SUM(_xlfn._xlws.FILTER(Deductions[LIFT LEASE TOTAL],(Deductions[PARTNER]=A22)*(Deductions[Type]="TRANSDEV"),0))</f>
        <v>0</v>
      </c>
      <c r="J22" s="166" cm="1">
        <f t="array" ref="J22">SUM(_xlfn._xlws.FILTER(Deductions[Violation],(Deductions[PARTNER]=A22)*(Deductions[Type]="TRANSDEV"),0))</f>
        <v>0</v>
      </c>
      <c r="K22" s="166">
        <f>SUMIF(TrapezeReport[PARTNER NAME],A22,TrapezeReport[Cash Fares Collected])</f>
        <v>0</v>
      </c>
      <c r="L22" s="166" cm="1">
        <f t="array" ref="L22">SUM(_xlfn._xlws.FILTER(Deductions[Other Deduction],(Deductions[PARTNER]=A22)*(Deductions[Type]="TRANSDEV"),0))</f>
        <v>0</v>
      </c>
      <c r="M22" s="166" cm="1">
        <f t="array" ref="M22">IF(SUM(_xlfn._xlws.FILTER(CoastTransactions[Amount],CoastTransactions[PARTNER NAME]=A22,0))-SUM(_xlfn._xlws.FILTER(TrapezeFuel[Calculated Fuel Cost],TrapezeFuel[PARTNER NAME]=A22,0))&lt;0,0,SUM(_xlfn._xlws.FILTER(CoastTransactions[Amount],CoastTransactions[PARTNER NAME]=A22,0))-SUM(_xlfn._xlws.FILTER(TrapezeFuel[Calculated Fuel Cost],TrapezeFuel[PARTNER NAME]=A22,0)))</f>
        <v>0</v>
      </c>
      <c r="N22" s="169">
        <f t="shared" si="0"/>
        <v>0</v>
      </c>
    </row>
    <row r="23" spans="1:16" x14ac:dyDescent="0.25">
      <c r="A23" s="69"/>
      <c r="D23" s="170">
        <f>SUM(D6:D22)</f>
        <v>26982.5</v>
      </c>
      <c r="E23" s="170">
        <f t="shared" ref="E23" si="1">SUM(E6:E22)</f>
        <v>0</v>
      </c>
      <c r="F23" s="170">
        <f>SUM(F6:F22)</f>
        <v>0</v>
      </c>
      <c r="G23" s="170">
        <f t="shared" ref="G23:L23" si="2">SUM(G6:G22)</f>
        <v>0</v>
      </c>
      <c r="H23" s="170">
        <f t="shared" si="2"/>
        <v>0</v>
      </c>
      <c r="I23" s="170">
        <f t="shared" si="2"/>
        <v>3589</v>
      </c>
      <c r="J23" s="170">
        <f t="shared" si="2"/>
        <v>0</v>
      </c>
      <c r="K23" s="170">
        <f t="shared" si="2"/>
        <v>294</v>
      </c>
      <c r="L23" s="170">
        <f t="shared" si="2"/>
        <v>250</v>
      </c>
      <c r="M23" s="170">
        <f>SUM(M6:M22)</f>
        <v>869.75199999999995</v>
      </c>
      <c r="N23" s="170">
        <f>SUM(N6:P22)</f>
        <v>21979.748</v>
      </c>
      <c r="O23" s="27">
        <f>SUM(O7:O16)</f>
        <v>0</v>
      </c>
      <c r="P23" s="27">
        <f>SUM(P7:P16)</f>
        <v>0</v>
      </c>
    </row>
    <row r="24" spans="1:16" ht="15" customHeight="1" x14ac:dyDescent="0.25">
      <c r="A24" s="69"/>
      <c r="D24" s="166"/>
      <c r="E24" s="166"/>
      <c r="F24" s="166"/>
      <c r="G24" s="166"/>
      <c r="H24" s="166"/>
      <c r="I24" s="166"/>
      <c r="J24" s="166"/>
      <c r="K24" s="166"/>
      <c r="L24" s="166"/>
      <c r="M24" s="166"/>
      <c r="N24" s="166"/>
    </row>
    <row r="25" spans="1:16" x14ac:dyDescent="0.25">
      <c r="A25" s="69"/>
    </row>
    <row r="26" spans="1:16" x14ac:dyDescent="0.25"/>
    <row r="27" spans="1:16" x14ac:dyDescent="0.25"/>
    <row r="28" spans="1:16" x14ac:dyDescent="0.25">
      <c r="A28" s="69" t="s">
        <v>38</v>
      </c>
      <c r="B28" s="20" t="s">
        <v>39</v>
      </c>
      <c r="C28" s="62" t="s">
        <v>40</v>
      </c>
      <c r="D28" s="14"/>
      <c r="E28" s="1"/>
      <c r="F28" s="1"/>
      <c r="G28" s="1"/>
      <c r="H28" s="1"/>
      <c r="I28" s="1"/>
      <c r="J28" s="1"/>
      <c r="K28" s="1"/>
      <c r="L28" s="1"/>
      <c r="M28" s="1"/>
      <c r="N28" s="102"/>
    </row>
    <row r="29" spans="1:16" x14ac:dyDescent="0.25">
      <c r="A29" s="71" t="s">
        <v>41</v>
      </c>
      <c r="B29" s="25">
        <v>44949</v>
      </c>
      <c r="C29" s="26">
        <v>4.95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02"/>
    </row>
    <row r="30" spans="1:16" x14ac:dyDescent="0.25">
      <c r="A30" s="71" t="s">
        <v>41</v>
      </c>
      <c r="B30" s="25">
        <v>44956</v>
      </c>
      <c r="C30" s="26">
        <v>3.44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02"/>
    </row>
    <row r="31" spans="1:16" x14ac:dyDescent="0.25">
      <c r="A31" s="70" t="s">
        <v>42</v>
      </c>
      <c r="C31" s="11">
        <v>14</v>
      </c>
      <c r="D31" s="1"/>
      <c r="E31" s="1"/>
      <c r="F31" s="1"/>
      <c r="G31" s="1"/>
      <c r="H31" s="1"/>
      <c r="I31" s="21"/>
      <c r="J31" s="1"/>
      <c r="K31" s="1"/>
      <c r="L31" s="1"/>
      <c r="M31" s="1"/>
      <c r="N31" s="102"/>
    </row>
    <row r="32" spans="1:16" x14ac:dyDescent="0.25">
      <c r="A32" s="70" t="s">
        <v>43</v>
      </c>
      <c r="C32" s="12">
        <v>19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02"/>
    </row>
    <row r="33" spans="1:16" x14ac:dyDescent="0.25">
      <c r="C33" s="9"/>
      <c r="D33" s="1"/>
      <c r="E33" s="1"/>
      <c r="F33" s="1"/>
      <c r="G33" s="1"/>
      <c r="H33" s="1"/>
      <c r="I33" s="1"/>
      <c r="J33" s="1"/>
      <c r="K33" s="1"/>
      <c r="L33" s="1"/>
      <c r="M33" s="1"/>
      <c r="N33" s="102"/>
    </row>
    <row r="34" spans="1:16" ht="15.75" thickBot="1" x14ac:dyDescent="0.3">
      <c r="C34" s="9"/>
      <c r="D34" s="1"/>
      <c r="E34" s="1"/>
      <c r="F34" s="1"/>
      <c r="G34" s="1"/>
      <c r="H34" s="1"/>
      <c r="I34" s="1"/>
      <c r="J34" s="1"/>
      <c r="K34" s="1"/>
      <c r="L34" s="1"/>
      <c r="M34" s="1"/>
      <c r="N34" s="102"/>
    </row>
    <row r="35" spans="1:16" ht="24" thickTop="1" x14ac:dyDescent="0.35">
      <c r="A35" s="194" t="s">
        <v>44</v>
      </c>
      <c r="B35" s="194"/>
      <c r="C35" s="194"/>
      <c r="D35" s="194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64"/>
      <c r="P35" s="164"/>
    </row>
    <row r="36" spans="1:16" x14ac:dyDescent="0.25">
      <c r="A36" s="69" t="str" cm="1">
        <f t="array" ref="A36:C41">_xlfn.UNIQUE(_xlfn._xlws.FILTER(_xlfn.CHOOSECOLS(Div10PartnerListUber[[PARTNER NAME]:[FILE '#]],1,6,5),Div10PartnerListUber[PARTNER NAME]&lt;&gt;"","Check Uber Partner List"))</f>
        <v>JAMAAL PERRY</v>
      </c>
      <c r="B36" s="23">
        <v>1011</v>
      </c>
      <c r="C36" s="10" t="str">
        <v>jamaalp100@gmail.com</v>
      </c>
      <c r="D36" s="173">
        <f>IFERROR(SUMIF(SumUberReport[PARTNER NAME],A36,SumUberReport[Total Rev]),0)</f>
        <v>1338</v>
      </c>
      <c r="E36" s="167" cm="1">
        <f t="array" ref="E36">SUM(_xlfn._xlws.FILTER(Deductions[[Other Income ]],(Deductions[PARTNER]=A36)*(Deductions[Type]="UBER"),0))</f>
        <v>0</v>
      </c>
      <c r="F36" s="166" cm="1">
        <f t="array" ref="F36">SUM(_xlfn._xlws.FILTER(Deductions[Bonus],(Deductions[PARTNER]=A36)*(Deductions[Type]="UBER"),0))</f>
        <v>0</v>
      </c>
      <c r="G36" s="167" cm="1">
        <f t="array" ref="G36">SUM(_xlfn._xlws.FILTER(Deductions[[Reimbursement ]],(Deductions[PARTNER]=A36)*(Deductions[Type]="UBER"),0))</f>
        <v>0</v>
      </c>
      <c r="H36" s="166" cm="1">
        <f t="array" ref="H36">SUM(_xlfn._xlws.FILTER(Deductions[Credentials],(Deductions[PARTNER]=A36)*(Deductions[Type]="UBER"),0))</f>
        <v>0</v>
      </c>
      <c r="I36" s="168" cm="1">
        <f t="array" ref="I36">SUM(_xlfn._xlws.FILTER(Deductions[LIFT LEASE TOTAL],(Deductions[PARTNER]=A36)*(Deductions[Type]="UBER"),0))</f>
        <v>92.5</v>
      </c>
      <c r="J36" s="166" cm="1">
        <f t="array" ref="J36">SUM(_xlfn._xlws.FILTER(Deductions[Violation],(Deductions[PARTNER]=A36)*(Deductions[Type]="UBER"),0))</f>
        <v>0</v>
      </c>
      <c r="K36" s="166">
        <v>0</v>
      </c>
      <c r="L36" s="166" cm="1">
        <f t="array" ref="L36">SUM(_xlfn._xlws.FILTER(Deductions[Other Deduction],(Deductions[PARTNER]=A36)*(Deductions[Type]="UBER"),0))</f>
        <v>0</v>
      </c>
      <c r="M36" s="166">
        <v>0</v>
      </c>
      <c r="N36" s="169">
        <f>IFERROR(SUM(D36:G36)-SUM(H36:L36),0)</f>
        <v>1245.5</v>
      </c>
    </row>
    <row r="37" spans="1:16" ht="15" customHeight="1" x14ac:dyDescent="0.25">
      <c r="A37" s="69" t="str">
        <v>FLASH LOGISTICS LLC</v>
      </c>
      <c r="B37" s="28">
        <v>1083</v>
      </c>
      <c r="C37" s="29" t="str">
        <v>flashlogisticss@proton.me</v>
      </c>
      <c r="D37" s="173">
        <f>IFERROR(SUMIF(SumUberReport[PARTNER NAME],A37,SumUberReport[Total Rev]),0)</f>
        <v>0</v>
      </c>
      <c r="E37" s="167" cm="1">
        <f t="array" ref="E37">SUM(_xlfn._xlws.FILTER(Deductions[[Other Income ]],(Deductions[PARTNER]=A37)*(Deductions[Type]="UBER"),0))</f>
        <v>0</v>
      </c>
      <c r="F37" s="166" cm="1">
        <f t="array" ref="F37">SUM(_xlfn._xlws.FILTER(Deductions[Bonus],(Deductions[PARTNER]=A37)*(Deductions[Type]="UBER"),0))</f>
        <v>0</v>
      </c>
      <c r="G37" s="167" cm="1">
        <f t="array" ref="G37">SUM(_xlfn._xlws.FILTER(Deductions[[Reimbursement ]],(Deductions[PARTNER]=A37)*(Deductions[Type]="UBER"),0))</f>
        <v>0</v>
      </c>
      <c r="H37" s="166" cm="1">
        <f t="array" ref="H37">SUM(_xlfn._xlws.FILTER(Deductions[Credentials],(Deductions[PARTNER]=A37)*(Deductions[Type]="UBER"),0))</f>
        <v>0</v>
      </c>
      <c r="I37" s="168" cm="1">
        <f t="array" ref="I37">SUM(_xlfn._xlws.FILTER(Deductions[LIFT LEASE TOTAL],(Deductions[PARTNER]=A37)*(Deductions[Type]="UBER"),0))</f>
        <v>0</v>
      </c>
      <c r="J37" s="166" cm="1">
        <f t="array" ref="J37">SUM(_xlfn._xlws.FILTER(Deductions[Violation],(Deductions[PARTNER]=A37)*(Deductions[Type]="UBER"),0))</f>
        <v>0</v>
      </c>
      <c r="K37" s="166">
        <v>0</v>
      </c>
      <c r="L37" s="166" cm="1">
        <f t="array" ref="L37">SUM(_xlfn._xlws.FILTER(Deductions[Other Deduction],(Deductions[PARTNER]=A37)*(Deductions[Type]="UBER"),0))</f>
        <v>0</v>
      </c>
      <c r="M37" s="166">
        <v>0</v>
      </c>
      <c r="N37" s="169">
        <f t="shared" ref="N37:N49" si="3">IFERROR(SUM(D37:G37)-SUM(H37:L37),0)</f>
        <v>0</v>
      </c>
    </row>
    <row r="38" spans="1:16" ht="15" customHeight="1" x14ac:dyDescent="0.25">
      <c r="A38" s="69" t="str">
        <v>BAMS TRANSIT</v>
      </c>
      <c r="B38" s="28">
        <v>12073</v>
      </c>
      <c r="C38" s="29" t="str">
        <v>shortidobop84@yahoo.com</v>
      </c>
      <c r="D38" s="173">
        <f>IFERROR(SUMIF(SumUberReport[PARTNER NAME],A38,SumUberReport[Total Rev]),0)</f>
        <v>3003.42</v>
      </c>
      <c r="E38" s="167" cm="1">
        <f t="array" ref="E38">SUM(_xlfn._xlws.FILTER(Deductions[[Other Income ]],(Deductions[PARTNER]=A38)*(Deductions[Type]="UBER"),0))</f>
        <v>0</v>
      </c>
      <c r="F38" s="166" cm="1">
        <f t="array" ref="F38">SUM(_xlfn._xlws.FILTER(Deductions[Bonus],(Deductions[PARTNER]=A38)*(Deductions[Type]="UBER"),0))</f>
        <v>0</v>
      </c>
      <c r="G38" s="167" cm="1">
        <f t="array" ref="G38">SUM(_xlfn._xlws.FILTER(Deductions[[Reimbursement ]],(Deductions[PARTNER]=A38)*(Deductions[Type]="UBER"),0))</f>
        <v>0</v>
      </c>
      <c r="H38" s="166" cm="1">
        <f t="array" ref="H38">SUM(_xlfn._xlws.FILTER(Deductions[Credentials],(Deductions[PARTNER]=A38)*(Deductions[Type]="UBER"),0))</f>
        <v>0</v>
      </c>
      <c r="I38" s="168" cm="1">
        <f t="array" ref="I38">SUM(_xlfn._xlws.FILTER(Deductions[LIFT LEASE TOTAL],(Deductions[PARTNER]=A38)*(Deductions[Type]="UBER"),0))</f>
        <v>185</v>
      </c>
      <c r="J38" s="166" cm="1">
        <f t="array" ref="J38">SUM(_xlfn._xlws.FILTER(Deductions[Violation],(Deductions[PARTNER]=A38)*(Deductions[Type]="UBER"),0))</f>
        <v>0</v>
      </c>
      <c r="K38" s="166">
        <v>0</v>
      </c>
      <c r="L38" s="166" cm="1">
        <f t="array" ref="L38">SUM(_xlfn._xlws.FILTER(Deductions[Other Deduction],(Deductions[PARTNER]=A38)*(Deductions[Type]="UBER"),0))</f>
        <v>0</v>
      </c>
      <c r="M38" s="166">
        <v>0</v>
      </c>
      <c r="N38" s="169">
        <f t="shared" si="3"/>
        <v>2818.42</v>
      </c>
    </row>
    <row r="39" spans="1:16" ht="15" customHeight="1" x14ac:dyDescent="0.25">
      <c r="A39" s="69" t="str">
        <v>DHARON DEPASS</v>
      </c>
      <c r="B39" s="28">
        <v>1015</v>
      </c>
      <c r="C39" s="29" t="str">
        <v>depassdharon.dd@gmail.com</v>
      </c>
      <c r="D39" s="173">
        <f>IFERROR(SUMIF(SumUberReport[PARTNER NAME],A39,SumUberReport[Total Rev]),0)</f>
        <v>2195.5</v>
      </c>
      <c r="E39" s="167" cm="1">
        <f t="array" ref="E39">SUM(_xlfn._xlws.FILTER(Deductions[[Other Income ]],(Deductions[PARTNER]=A39)*(Deductions[Type]="UBER"),0))</f>
        <v>0</v>
      </c>
      <c r="F39" s="166" cm="1">
        <f t="array" ref="F39">SUM(_xlfn._xlws.FILTER(Deductions[Bonus],(Deductions[PARTNER]=A39)*(Deductions[Type]="UBER"),0))</f>
        <v>0</v>
      </c>
      <c r="G39" s="167" cm="1">
        <f t="array" ref="G39">SUM(_xlfn._xlws.FILTER(Deductions[[Reimbursement ]],(Deductions[PARTNER]=A39)*(Deductions[Type]="UBER"),0))</f>
        <v>0</v>
      </c>
      <c r="H39" s="166" cm="1">
        <f t="array" ref="H39">SUM(_xlfn._xlws.FILTER(Deductions[Credentials],(Deductions[PARTNER]=A39)*(Deductions[Type]="UBER"),0))</f>
        <v>0</v>
      </c>
      <c r="I39" s="168" cm="1">
        <f t="array" ref="I39">SUM(_xlfn._xlws.FILTER(Deductions[LIFT LEASE TOTAL],(Deductions[PARTNER]=A39)*(Deductions[Type]="UBER"),0))</f>
        <v>185</v>
      </c>
      <c r="J39" s="166" cm="1">
        <f t="array" ref="J39">SUM(_xlfn._xlws.FILTER(Deductions[Violation],(Deductions[PARTNER]=A39)*(Deductions[Type]="UBER"),0))</f>
        <v>0</v>
      </c>
      <c r="K39" s="166">
        <v>0</v>
      </c>
      <c r="L39" s="166" cm="1">
        <f t="array" ref="L39">SUM(_xlfn._xlws.FILTER(Deductions[Other Deduction],(Deductions[PARTNER]=A39)*(Deductions[Type]="UBER"),0))</f>
        <v>0</v>
      </c>
      <c r="M39" s="166">
        <v>0</v>
      </c>
      <c r="N39" s="169">
        <f t="shared" si="3"/>
        <v>2010.5</v>
      </c>
    </row>
    <row r="40" spans="1:16" ht="15" customHeight="1" x14ac:dyDescent="0.25">
      <c r="A40" s="69" t="str">
        <v>DOMINIQUE CARR</v>
      </c>
      <c r="B40" s="28">
        <v>1014</v>
      </c>
      <c r="C40" s="29" t="str">
        <v>dominiquecarr66@gmail.com</v>
      </c>
      <c r="D40" s="173">
        <f>IFERROR(SUMIF(SumUberReport[PARTNER NAME],A40,SumUberReport[Total Rev]),0)</f>
        <v>2237</v>
      </c>
      <c r="E40" s="167" cm="1">
        <f t="array" ref="E40">SUM(_xlfn._xlws.FILTER(Deductions[[Other Income ]],(Deductions[PARTNER]=A40)*(Deductions[Type]="UBER"),0))</f>
        <v>0</v>
      </c>
      <c r="F40" s="166" cm="1">
        <f t="array" ref="F40">SUM(_xlfn._xlws.FILTER(Deductions[Bonus],(Deductions[PARTNER]=A40)*(Deductions[Type]="UBER"),0))</f>
        <v>0</v>
      </c>
      <c r="G40" s="167" cm="1">
        <f t="array" ref="G40">SUM(_xlfn._xlws.FILTER(Deductions[[Reimbursement ]],(Deductions[PARTNER]=A40)*(Deductions[Type]="UBER"),0))</f>
        <v>0</v>
      </c>
      <c r="H40" s="166" cm="1">
        <f t="array" ref="H40">SUM(_xlfn._xlws.FILTER(Deductions[Credentials],(Deductions[PARTNER]=A40)*(Deductions[Type]="UBER"),0))</f>
        <v>0</v>
      </c>
      <c r="I40" s="168" cm="1">
        <f t="array" ref="I40">SUM(_xlfn._xlws.FILTER(Deductions[LIFT LEASE TOTAL],(Deductions[PARTNER]=A40)*(Deductions[Type]="UBER"),0))</f>
        <v>185</v>
      </c>
      <c r="J40" s="166" cm="1">
        <f t="array" ref="J40">SUM(_xlfn._xlws.FILTER(Deductions[Violation],(Deductions[PARTNER]=A40)*(Deductions[Type]="UBER"),0))</f>
        <v>0</v>
      </c>
      <c r="K40" s="166">
        <v>0</v>
      </c>
      <c r="L40" s="166" cm="1">
        <f t="array" ref="L40">SUM(_xlfn._xlws.FILTER(Deductions[Other Deduction],(Deductions[PARTNER]=A40)*(Deductions[Type]="UBER"),0))</f>
        <v>0</v>
      </c>
      <c r="M40" s="166">
        <v>0</v>
      </c>
      <c r="N40" s="169">
        <f t="shared" si="3"/>
        <v>2052</v>
      </c>
    </row>
    <row r="41" spans="1:16" ht="15" customHeight="1" x14ac:dyDescent="0.25">
      <c r="A41" s="69" t="str">
        <v>ROADRUNNERLIFT23 LLC</v>
      </c>
      <c r="B41" s="28">
        <v>1074</v>
      </c>
      <c r="C41" s="29" t="str">
        <v>mike@roadrunnerlift.com</v>
      </c>
      <c r="D41" s="173">
        <f>IFERROR(SUMIF(SumUberReport[PARTNER NAME],A41,SumUberReport[Total Rev]),0)</f>
        <v>1489.3575000000001</v>
      </c>
      <c r="E41" s="167" cm="1">
        <f t="array" ref="E41">SUM(_xlfn._xlws.FILTER(Deductions[[Other Income ]],(Deductions[PARTNER]=A41)*(Deductions[Type]="UBER"),0))</f>
        <v>0</v>
      </c>
      <c r="F41" s="166" cm="1">
        <f t="array" ref="F41">SUM(_xlfn._xlws.FILTER(Deductions[Bonus],(Deductions[PARTNER]=A41)*(Deductions[Type]="UBER"),0))</f>
        <v>0</v>
      </c>
      <c r="G41" s="167" cm="1">
        <f t="array" ref="G41">SUM(_xlfn._xlws.FILTER(Deductions[[Reimbursement ]],(Deductions[PARTNER]=A41)*(Deductions[Type]="UBER"),0))</f>
        <v>0</v>
      </c>
      <c r="H41" s="166" cm="1">
        <f t="array" ref="H41">SUM(_xlfn._xlws.FILTER(Deductions[Credentials],(Deductions[PARTNER]=A41)*(Deductions[Type]="UBER"),0))</f>
        <v>0</v>
      </c>
      <c r="I41" s="168" cm="1">
        <f t="array" ref="I41">SUM(_xlfn._xlws.FILTER(Deductions[LIFT LEASE TOTAL],(Deductions[PARTNER]=A41)*(Deductions[Type]="UBER"),0))</f>
        <v>92.5</v>
      </c>
      <c r="J41" s="166" cm="1">
        <f t="array" ref="J41">SUM(_xlfn._xlws.FILTER(Deductions[Violation],(Deductions[PARTNER]=A41)*(Deductions[Type]="UBER"),0))</f>
        <v>0</v>
      </c>
      <c r="K41" s="166">
        <v>0</v>
      </c>
      <c r="L41" s="166" cm="1">
        <f t="array" ref="L41">SUM(_xlfn._xlws.FILTER(Deductions[Other Deduction],(Deductions[PARTNER]=A41)*(Deductions[Type]="UBER"),0))</f>
        <v>0</v>
      </c>
      <c r="M41" s="166">
        <v>0</v>
      </c>
      <c r="N41" s="169">
        <f t="shared" si="3"/>
        <v>1396.8575000000001</v>
      </c>
    </row>
    <row r="42" spans="1:16" ht="15" hidden="1" customHeight="1" x14ac:dyDescent="0.25">
      <c r="A42" s="69"/>
      <c r="B42" s="28"/>
      <c r="C42" s="29"/>
      <c r="D42" s="173">
        <f>IFERROR(SUMIF(SumUberReport[PARTNER NAME],A42,SumUberReport[Total Rev]),0)</f>
        <v>0</v>
      </c>
      <c r="E42" s="167" cm="1">
        <f t="array" ref="E42">SUM(_xlfn._xlws.FILTER(Deductions[[Other Income ]],(Deductions[PARTNER]=A42)*(Deductions[Type]="UBER"),0))</f>
        <v>0</v>
      </c>
      <c r="F42" s="166" cm="1">
        <f t="array" ref="F42">SUM(_xlfn._xlws.FILTER(Deductions[Bonus],(Deductions[PARTNER]=A42)*(Deductions[Type]="UBER"),0))</f>
        <v>0</v>
      </c>
      <c r="G42" s="167" cm="1">
        <f t="array" ref="G42">SUM(_xlfn._xlws.FILTER(Deductions[[Reimbursement ]],(Deductions[PARTNER]=A42)*(Deductions[Type]="UBER"),0))</f>
        <v>0</v>
      </c>
      <c r="H42" s="166" cm="1">
        <f t="array" ref="H42">SUM(_xlfn._xlws.FILTER(Deductions[Credentials],(Deductions[PARTNER]=A42)*(Deductions[Type]="UBER"),0))</f>
        <v>0</v>
      </c>
      <c r="I42" s="168" cm="1">
        <f t="array" ref="I42">SUM(_xlfn._xlws.FILTER(Deductions[LIFT LEASE TOTAL],(Deductions[PARTNER]=A42)*(Deductions[Type]="UBER"),0))</f>
        <v>0</v>
      </c>
      <c r="J42" s="166" cm="1">
        <f t="array" ref="J42">SUM(_xlfn._xlws.FILTER(Deductions[Violation],(Deductions[PARTNER]=A42)*(Deductions[Type]="UBER"),0))</f>
        <v>0</v>
      </c>
      <c r="K42" s="166">
        <v>0</v>
      </c>
      <c r="L42" s="166" cm="1">
        <f t="array" ref="L42">SUM(_xlfn._xlws.FILTER(Deductions[Other Deduction],(Deductions[PARTNER]=A42)*(Deductions[Type]="UBER"),0))</f>
        <v>0</v>
      </c>
      <c r="M42" s="166">
        <v>0</v>
      </c>
      <c r="N42" s="169">
        <f t="shared" si="3"/>
        <v>0</v>
      </c>
    </row>
    <row r="43" spans="1:16" ht="15" hidden="1" customHeight="1" x14ac:dyDescent="0.25">
      <c r="A43" s="69"/>
      <c r="B43" s="28"/>
      <c r="C43" s="29"/>
      <c r="D43" s="173">
        <f>IFERROR(SUMIF(SumUberReport[PARTNER NAME],A43,SumUberReport[Total Rev]),0)</f>
        <v>0</v>
      </c>
      <c r="E43" s="167" cm="1">
        <f t="array" ref="E43">SUM(_xlfn._xlws.FILTER(Deductions[[Other Income ]],(Deductions[PARTNER]=A43)*(Deductions[Type]="UBER"),0))</f>
        <v>0</v>
      </c>
      <c r="F43" s="166" cm="1">
        <f t="array" ref="F43">SUM(_xlfn._xlws.FILTER(Deductions[Bonus],(Deductions[PARTNER]=A43)*(Deductions[Type]="UBER"),0))</f>
        <v>0</v>
      </c>
      <c r="G43" s="167" cm="1">
        <f t="array" ref="G43">SUM(_xlfn._xlws.FILTER(Deductions[[Reimbursement ]],(Deductions[PARTNER]=A43)*(Deductions[Type]="UBER"),0))</f>
        <v>0</v>
      </c>
      <c r="H43" s="166" cm="1">
        <f t="array" ref="H43">SUM(_xlfn._xlws.FILTER(Deductions[Credentials],(Deductions[PARTNER]=A43)*(Deductions[Type]="UBER"),0))</f>
        <v>0</v>
      </c>
      <c r="I43" s="168" cm="1">
        <f t="array" ref="I43">SUM(_xlfn._xlws.FILTER(Deductions[LIFT LEASE TOTAL],(Deductions[PARTNER]=A43)*(Deductions[Type]="UBER"),0))</f>
        <v>0</v>
      </c>
      <c r="J43" s="166" cm="1">
        <f t="array" ref="J43">SUM(_xlfn._xlws.FILTER(Deductions[Violation],(Deductions[PARTNER]=A43)*(Deductions[Type]="UBER"),0))</f>
        <v>0</v>
      </c>
      <c r="K43" s="166">
        <v>0</v>
      </c>
      <c r="L43" s="166" cm="1">
        <f t="array" ref="L43">SUM(_xlfn._xlws.FILTER(Deductions[Other Deduction],(Deductions[PARTNER]=A43)*(Deductions[Type]="UBER"),0))</f>
        <v>0</v>
      </c>
      <c r="M43" s="166">
        <v>0</v>
      </c>
      <c r="N43" s="169">
        <f t="shared" si="3"/>
        <v>0</v>
      </c>
    </row>
    <row r="44" spans="1:16" ht="15" hidden="1" customHeight="1" x14ac:dyDescent="0.25">
      <c r="A44" s="69"/>
      <c r="B44" s="28"/>
      <c r="C44" s="29"/>
      <c r="D44" s="173">
        <f>IFERROR(SUMIF(SumUberReport[PARTNER NAME],A44,SumUberReport[Total Rev]),0)</f>
        <v>0</v>
      </c>
      <c r="E44" s="167" cm="1">
        <f t="array" ref="E44">SUM(_xlfn._xlws.FILTER(Deductions[[Other Income ]],(Deductions[PARTNER]=A44)*(Deductions[Type]="UBER"),0))</f>
        <v>0</v>
      </c>
      <c r="F44" s="166" cm="1">
        <f t="array" ref="F44">SUM(_xlfn._xlws.FILTER(Deductions[Bonus],(Deductions[PARTNER]=A44)*(Deductions[Type]="UBER"),0))</f>
        <v>0</v>
      </c>
      <c r="G44" s="167" cm="1">
        <f t="array" ref="G44">SUM(_xlfn._xlws.FILTER(Deductions[[Reimbursement ]],(Deductions[PARTNER]=A44)*(Deductions[Type]="UBER"),0))</f>
        <v>0</v>
      </c>
      <c r="H44" s="166" cm="1">
        <f t="array" ref="H44">SUM(_xlfn._xlws.FILTER(Deductions[Credentials],(Deductions[PARTNER]=A44)*(Deductions[Type]="UBER"),0))</f>
        <v>0</v>
      </c>
      <c r="I44" s="168" cm="1">
        <f t="array" ref="I44">SUM(_xlfn._xlws.FILTER(Deductions[LIFT LEASE TOTAL],(Deductions[PARTNER]=A44)*(Deductions[Type]="UBER"),0))</f>
        <v>0</v>
      </c>
      <c r="J44" s="166" cm="1">
        <f t="array" ref="J44">SUM(_xlfn._xlws.FILTER(Deductions[Violation],(Deductions[PARTNER]=A44)*(Deductions[Type]="UBER"),0))</f>
        <v>0</v>
      </c>
      <c r="K44" s="166">
        <v>0</v>
      </c>
      <c r="L44" s="166" cm="1">
        <f t="array" ref="L44">SUM(_xlfn._xlws.FILTER(Deductions[Other Deduction],(Deductions[PARTNER]=A44)*(Deductions[Type]="UBER"),0))</f>
        <v>0</v>
      </c>
      <c r="M44" s="166">
        <v>0</v>
      </c>
      <c r="N44" s="169">
        <f t="shared" si="3"/>
        <v>0</v>
      </c>
    </row>
    <row r="45" spans="1:16" ht="15" hidden="1" customHeight="1" x14ac:dyDescent="0.25">
      <c r="A45" s="69"/>
      <c r="B45" s="28"/>
      <c r="C45" s="29"/>
      <c r="D45" s="173">
        <f>IFERROR(SUMIF(SumUberReport[PARTNER NAME],A45,SumUberReport[Total Rev]),0)</f>
        <v>0</v>
      </c>
      <c r="E45" s="167" cm="1">
        <f t="array" ref="E45">SUM(_xlfn._xlws.FILTER(Deductions[[Other Income ]],(Deductions[PARTNER]=A45)*(Deductions[Type]="UBER"),0))</f>
        <v>0</v>
      </c>
      <c r="F45" s="166" cm="1">
        <f t="array" ref="F45">SUM(_xlfn._xlws.FILTER(Deductions[Bonus],(Deductions[PARTNER]=A45)*(Deductions[Type]="UBER"),0))</f>
        <v>0</v>
      </c>
      <c r="G45" s="167" cm="1">
        <f t="array" ref="G45">SUM(_xlfn._xlws.FILTER(Deductions[[Reimbursement ]],(Deductions[PARTNER]=A45)*(Deductions[Type]="UBER"),0))</f>
        <v>0</v>
      </c>
      <c r="H45" s="166" cm="1">
        <f t="array" ref="H45">SUM(_xlfn._xlws.FILTER(Deductions[Credentials],(Deductions[PARTNER]=A45)*(Deductions[Type]="UBER"),0))</f>
        <v>0</v>
      </c>
      <c r="I45" s="168" cm="1">
        <f t="array" ref="I45">SUM(_xlfn._xlws.FILTER(Deductions[LIFT LEASE TOTAL],(Deductions[PARTNER]=A45)*(Deductions[Type]="UBER"),0))</f>
        <v>0</v>
      </c>
      <c r="J45" s="166" cm="1">
        <f t="array" ref="J45">SUM(_xlfn._xlws.FILTER(Deductions[Violation],(Deductions[PARTNER]=A45)*(Deductions[Type]="UBER"),0))</f>
        <v>0</v>
      </c>
      <c r="K45" s="166">
        <v>0</v>
      </c>
      <c r="L45" s="166" cm="1">
        <f t="array" ref="L45">SUM(_xlfn._xlws.FILTER(Deductions[Other Deduction],(Deductions[PARTNER]=A45)*(Deductions[Type]="UBER"),0))</f>
        <v>0</v>
      </c>
      <c r="M45" s="166">
        <v>0</v>
      </c>
      <c r="N45" s="169">
        <f t="shared" si="3"/>
        <v>0</v>
      </c>
    </row>
    <row r="46" spans="1:16" ht="15" hidden="1" customHeight="1" x14ac:dyDescent="0.25">
      <c r="A46" s="69"/>
      <c r="B46" s="28"/>
      <c r="C46" s="29"/>
      <c r="D46" s="173">
        <f>IFERROR(SUMIF(SumUberReport[PARTNER NAME],A46,SumUberReport[Total Rev]),0)</f>
        <v>0</v>
      </c>
      <c r="E46" s="167" cm="1">
        <f t="array" ref="E46">SUM(_xlfn._xlws.FILTER(Deductions[[Other Income ]],(Deductions[PARTNER]=A46)*(Deductions[Type]="UBER"),0))</f>
        <v>0</v>
      </c>
      <c r="F46" s="166" cm="1">
        <f t="array" ref="F46">SUM(_xlfn._xlws.FILTER(Deductions[Bonus],(Deductions[PARTNER]=A46)*(Deductions[Type]="UBER"),0))</f>
        <v>0</v>
      </c>
      <c r="G46" s="167" cm="1">
        <f t="array" ref="G46">SUM(_xlfn._xlws.FILTER(Deductions[[Reimbursement ]],(Deductions[PARTNER]=A46)*(Deductions[Type]="UBER"),0))</f>
        <v>0</v>
      </c>
      <c r="H46" s="166" cm="1">
        <f t="array" ref="H46">SUM(_xlfn._xlws.FILTER(Deductions[Credentials],(Deductions[PARTNER]=A46)*(Deductions[Type]="UBER"),0))</f>
        <v>0</v>
      </c>
      <c r="I46" s="168" cm="1">
        <f t="array" ref="I46">SUM(_xlfn._xlws.FILTER(Deductions[LIFT LEASE TOTAL],(Deductions[PARTNER]=A46)*(Deductions[Type]="UBER"),0))</f>
        <v>0</v>
      </c>
      <c r="J46" s="166" cm="1">
        <f t="array" ref="J46">SUM(_xlfn._xlws.FILTER(Deductions[Violation],(Deductions[PARTNER]=A46)*(Deductions[Type]="UBER"),0))</f>
        <v>0</v>
      </c>
      <c r="K46" s="166">
        <v>0</v>
      </c>
      <c r="L46" s="166" cm="1">
        <f t="array" ref="L46">SUM(_xlfn._xlws.FILTER(Deductions[Other Deduction],(Deductions[PARTNER]=A46)*(Deductions[Type]="UBER"),0))</f>
        <v>0</v>
      </c>
      <c r="M46" s="166">
        <v>0</v>
      </c>
      <c r="N46" s="169">
        <f t="shared" si="3"/>
        <v>0</v>
      </c>
    </row>
    <row r="47" spans="1:16" ht="15" hidden="1" customHeight="1" x14ac:dyDescent="0.25">
      <c r="A47" s="69"/>
      <c r="B47" s="23"/>
      <c r="C47" s="10"/>
      <c r="D47" s="173">
        <f>IFERROR(SUMIF(SumUberReport[PARTNER NAME],A47,SumUberReport[Total Rev]),0)</f>
        <v>0</v>
      </c>
      <c r="E47" s="167" cm="1">
        <f t="array" ref="E47">SUM(_xlfn._xlws.FILTER(Deductions[[Other Income ]],(Deductions[PARTNER]=A47)*(Deductions[Type]="UBER"),0))</f>
        <v>0</v>
      </c>
      <c r="F47" s="166" cm="1">
        <f t="array" ref="F47">SUM(_xlfn._xlws.FILTER(Deductions[Bonus],(Deductions[PARTNER]=A47)*(Deductions[Type]="UBER"),0))</f>
        <v>0</v>
      </c>
      <c r="G47" s="167" cm="1">
        <f t="array" ref="G47">SUM(_xlfn._xlws.FILTER(Deductions[[Reimbursement ]],(Deductions[PARTNER]=A47)*(Deductions[Type]="UBER"),0))</f>
        <v>0</v>
      </c>
      <c r="H47" s="166" cm="1">
        <f t="array" ref="H47">SUM(_xlfn._xlws.FILTER(Deductions[Credentials],(Deductions[PARTNER]=A47)*(Deductions[Type]="UBER"),0))</f>
        <v>0</v>
      </c>
      <c r="I47" s="168" cm="1">
        <f t="array" ref="I47">SUM(_xlfn._xlws.FILTER(Deductions[LIFT LEASE TOTAL],(Deductions[PARTNER]=A47)*(Deductions[Type]="UBER"),0))</f>
        <v>0</v>
      </c>
      <c r="J47" s="166" cm="1">
        <f t="array" ref="J47">SUM(_xlfn._xlws.FILTER(Deductions[Violation],(Deductions[PARTNER]=A47)*(Deductions[Type]="UBER"),0))</f>
        <v>0</v>
      </c>
      <c r="K47" s="166">
        <v>0</v>
      </c>
      <c r="L47" s="166" cm="1">
        <f t="array" ref="L47">SUM(_xlfn._xlws.FILTER(Deductions[Other Deduction],(Deductions[PARTNER]=A47)*(Deductions[Type]="UBER"),0))</f>
        <v>0</v>
      </c>
      <c r="M47" s="166">
        <v>0</v>
      </c>
      <c r="N47" s="169">
        <f t="shared" si="3"/>
        <v>0</v>
      </c>
    </row>
    <row r="48" spans="1:16" ht="15" hidden="1" customHeight="1" x14ac:dyDescent="0.25">
      <c r="D48" s="173">
        <f>IFERROR(SUMIF(SumUberReport[PARTNER NAME],A48,SumUberReport[Total Rev]),0)</f>
        <v>0</v>
      </c>
      <c r="E48" s="167" cm="1">
        <f t="array" ref="E48">SUM(_xlfn._xlws.FILTER(Deductions[[Other Income ]],(Deductions[PARTNER]=A48)*(Deductions[Type]="UBER"),0))</f>
        <v>0</v>
      </c>
      <c r="F48" s="166" cm="1">
        <f t="array" ref="F48">SUM(_xlfn._xlws.FILTER(Deductions[Bonus],(Deductions[PARTNER]=A48)*(Deductions[Type]="UBER"),0))</f>
        <v>0</v>
      </c>
      <c r="G48" s="167" cm="1">
        <f t="array" ref="G48">SUM(_xlfn._xlws.FILTER(Deductions[[Reimbursement ]],(Deductions[PARTNER]=A48)*(Deductions[Type]="UBER"),0))</f>
        <v>0</v>
      </c>
      <c r="H48" s="166" cm="1">
        <f t="array" ref="H48">SUM(_xlfn._xlws.FILTER(Deductions[Credentials],(Deductions[PARTNER]=A48)*(Deductions[Type]="UBER"),0))</f>
        <v>0</v>
      </c>
      <c r="I48" s="168" cm="1">
        <f t="array" ref="I48">SUM(_xlfn._xlws.FILTER(Deductions[LIFT LEASE TOTAL],(Deductions[PARTNER]=A48)*(Deductions[Type]="UBER"),0))</f>
        <v>0</v>
      </c>
      <c r="J48" s="166" cm="1">
        <f t="array" ref="J48">SUM(_xlfn._xlws.FILTER(Deductions[Violation],(Deductions[PARTNER]=A48)*(Deductions[Type]="UBER"),0))</f>
        <v>0</v>
      </c>
      <c r="K48" s="166">
        <v>0</v>
      </c>
      <c r="L48" s="166" cm="1">
        <f t="array" ref="L48">SUM(_xlfn._xlws.FILTER(Deductions[Other Deduction],(Deductions[PARTNER]=A48)*(Deductions[Type]="UBER"),0))</f>
        <v>0</v>
      </c>
      <c r="M48" s="166">
        <v>0</v>
      </c>
      <c r="N48" s="169">
        <f t="shared" si="3"/>
        <v>0</v>
      </c>
    </row>
    <row r="49" spans="4:14" ht="15" hidden="1" customHeight="1" x14ac:dyDescent="0.25">
      <c r="D49" s="173">
        <f>IFERROR(SUMIF(SumUberReport[PARTNER NAME],A49,SumUberReport[Total Rev]),0)</f>
        <v>0</v>
      </c>
      <c r="E49" s="167" cm="1">
        <f t="array" ref="E49">SUM(_xlfn._xlws.FILTER(Deductions[[Other Income ]],(Deductions[PARTNER]=A49)*(Deductions[Type]="UBER"),0))</f>
        <v>0</v>
      </c>
      <c r="F49" s="166" cm="1">
        <f t="array" ref="F49">SUM(_xlfn._xlws.FILTER(Deductions[Bonus],(Deductions[PARTNER]=A49)*(Deductions[Type]="UBER"),0))</f>
        <v>0</v>
      </c>
      <c r="G49" s="167" cm="1">
        <f t="array" ref="G49">SUM(_xlfn._xlws.FILTER(Deductions[[Reimbursement ]],(Deductions[PARTNER]=A49)*(Deductions[Type]="UBER"),0))</f>
        <v>0</v>
      </c>
      <c r="H49" s="166" cm="1">
        <f t="array" ref="H49">SUM(_xlfn._xlws.FILTER(Deductions[Credentials],(Deductions[PARTNER]=A49)*(Deductions[Type]="UBER"),0))</f>
        <v>0</v>
      </c>
      <c r="I49" s="168" cm="1">
        <f t="array" ref="I49">SUM(_xlfn._xlws.FILTER(Deductions[LIFT LEASE TOTAL],(Deductions[PARTNER]=A49)*(Deductions[Type]="UBER"),0))</f>
        <v>0</v>
      </c>
      <c r="J49" s="166" cm="1">
        <f t="array" ref="J49">SUM(_xlfn._xlws.FILTER(Deductions[Violation],(Deductions[PARTNER]=A49)*(Deductions[Type]="UBER"),0))</f>
        <v>0</v>
      </c>
      <c r="K49" s="166">
        <v>0</v>
      </c>
      <c r="L49" s="166" cm="1">
        <f t="array" ref="L49">SUM(_xlfn._xlws.FILTER(Deductions[Other Deduction],(Deductions[PARTNER]=A49)*(Deductions[Type]="UBER"),0))</f>
        <v>0</v>
      </c>
      <c r="M49" s="166">
        <v>0</v>
      </c>
      <c r="N49" s="169">
        <f t="shared" si="3"/>
        <v>0</v>
      </c>
    </row>
    <row r="50" spans="4:14" ht="15" customHeight="1" x14ac:dyDescent="0.25">
      <c r="D50" s="171">
        <f>SUM(D36:D49)</f>
        <v>10263.2775</v>
      </c>
      <c r="E50" s="170">
        <f t="shared" ref="E50:N50" si="4">SUM(E36:E49)</f>
        <v>0</v>
      </c>
      <c r="F50" s="170">
        <f t="shared" si="4"/>
        <v>0</v>
      </c>
      <c r="G50" s="170">
        <f t="shared" si="4"/>
        <v>0</v>
      </c>
      <c r="H50" s="170">
        <f t="shared" si="4"/>
        <v>0</v>
      </c>
      <c r="I50" s="170">
        <f t="shared" si="4"/>
        <v>740</v>
      </c>
      <c r="J50" s="170">
        <f t="shared" si="4"/>
        <v>0</v>
      </c>
      <c r="K50" s="170">
        <f t="shared" si="4"/>
        <v>0</v>
      </c>
      <c r="L50" s="170">
        <f t="shared" si="4"/>
        <v>0</v>
      </c>
      <c r="M50" s="170">
        <f>SUM(M36:M49)</f>
        <v>0</v>
      </c>
      <c r="N50" s="170">
        <f t="shared" si="4"/>
        <v>9523.2775000000001</v>
      </c>
    </row>
    <row r="51" spans="4:14" ht="15" customHeight="1" x14ac:dyDescent="0.25">
      <c r="D51" s="173"/>
    </row>
    <row r="52" spans="4:14" ht="15" customHeight="1" x14ac:dyDescent="0.25">
      <c r="D52" s="173"/>
    </row>
    <row r="53" spans="4:14" ht="15" customHeight="1" x14ac:dyDescent="0.25">
      <c r="D53" s="172">
        <f>D23+D50</f>
        <v>37245.777499999997</v>
      </c>
      <c r="E53" s="172">
        <f t="shared" ref="E53:L53" si="5">E23+E50</f>
        <v>0</v>
      </c>
      <c r="F53" s="172">
        <f t="shared" si="5"/>
        <v>0</v>
      </c>
      <c r="G53" s="172">
        <f t="shared" si="5"/>
        <v>0</v>
      </c>
      <c r="H53" s="172">
        <f t="shared" si="5"/>
        <v>0</v>
      </c>
      <c r="I53" s="172">
        <f t="shared" si="5"/>
        <v>4329</v>
      </c>
      <c r="J53" s="172">
        <f t="shared" si="5"/>
        <v>0</v>
      </c>
      <c r="K53" s="172">
        <f t="shared" si="5"/>
        <v>294</v>
      </c>
      <c r="L53" s="172">
        <f t="shared" si="5"/>
        <v>250</v>
      </c>
      <c r="M53" s="172">
        <f>M23+M50</f>
        <v>869.75199999999995</v>
      </c>
      <c r="N53" s="172">
        <f>N23+N50</f>
        <v>31503.0255</v>
      </c>
    </row>
    <row r="54" spans="4:14" ht="15" customHeight="1" x14ac:dyDescent="0.25">
      <c r="D54" s="173"/>
    </row>
    <row r="55" spans="4:14" ht="15" customHeight="1" x14ac:dyDescent="0.25">
      <c r="D55" s="173"/>
    </row>
    <row r="56" spans="4:14" ht="15" customHeight="1" x14ac:dyDescent="0.25">
      <c r="D56" s="173"/>
    </row>
    <row r="57" spans="4:14" ht="15" customHeight="1" x14ac:dyDescent="0.25">
      <c r="D57" s="173"/>
    </row>
    <row r="58" spans="4:14" ht="15" customHeight="1" x14ac:dyDescent="0.25">
      <c r="D58" s="173"/>
    </row>
    <row r="59" spans="4:14" ht="15" customHeight="1" x14ac:dyDescent="0.25">
      <c r="D59" s="173"/>
    </row>
  </sheetData>
  <sheetProtection formatRows="0" insertRows="0"/>
  <mergeCells count="2">
    <mergeCell ref="A5:N5"/>
    <mergeCell ref="A35:N35"/>
  </mergeCells>
  <phoneticPr fontId="44" type="noConversion"/>
  <pageMargins left="0.7" right="0.7" top="0.75" bottom="0.75" header="0.3" footer="0.3"/>
  <pageSetup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C123F-3666-4E8C-A224-BBA714E75230}">
  <sheetPr codeName="Sheet5">
    <tabColor theme="9"/>
  </sheetPr>
  <dimension ref="A1:AG121"/>
  <sheetViews>
    <sheetView showGridLines="0" zoomScale="90" zoomScaleNormal="90" workbookViewId="0">
      <selection activeCell="G25" sqref="G25"/>
    </sheetView>
  </sheetViews>
  <sheetFormatPr defaultRowHeight="15" x14ac:dyDescent="0.25"/>
  <cols>
    <col min="1" max="1" width="13.42578125" style="64" customWidth="1"/>
    <col min="2" max="2" width="8" customWidth="1"/>
    <col min="3" max="3" width="19.7109375" customWidth="1"/>
    <col min="4" max="4" width="20.7109375" style="61" customWidth="1"/>
    <col min="5" max="5" width="12.7109375" style="61" customWidth="1"/>
    <col min="6" max="6" width="14.140625" style="75" customWidth="1"/>
    <col min="7" max="7" width="28" style="75" bestFit="1" customWidth="1"/>
    <col min="8" max="8" width="20" style="86" customWidth="1"/>
    <col min="9" max="9" width="15.7109375" style="74" bestFit="1" customWidth="1"/>
    <col min="10" max="10" width="17.42578125" style="74" customWidth="1"/>
    <col min="11" max="11" width="11.42578125" customWidth="1"/>
    <col min="12" max="12" width="14.28515625" customWidth="1"/>
    <col min="13" max="13" width="15.5703125" customWidth="1"/>
    <col min="15" max="15" width="12" style="64" customWidth="1"/>
    <col min="16" max="16" width="13.28515625" customWidth="1"/>
    <col min="17" max="17" width="14.42578125" customWidth="1"/>
    <col min="18" max="18" width="14" style="182" customWidth="1"/>
    <col min="19" max="19" width="14.140625" style="138" customWidth="1"/>
    <col min="20" max="20" width="15.140625" style="138" customWidth="1"/>
    <col min="21" max="21" width="12.28515625" style="146" customWidth="1"/>
    <col min="22" max="23" width="10.7109375" style="146" customWidth="1"/>
    <col min="24" max="24" width="12.28515625" style="183" customWidth="1"/>
    <col min="25" max="25" width="16.28515625" style="183" customWidth="1"/>
    <col min="26" max="26" width="13.28515625" style="184" customWidth="1"/>
    <col min="27" max="33" width="13.28515625" customWidth="1"/>
  </cols>
  <sheetData>
    <row r="1" spans="1:33" ht="17.25" x14ac:dyDescent="0.3">
      <c r="A1" s="72" t="s">
        <v>45</v>
      </c>
      <c r="D1" s="205" t="s">
        <v>46</v>
      </c>
      <c r="E1" s="205"/>
      <c r="F1" s="73"/>
      <c r="G1" s="206" t="s">
        <v>47</v>
      </c>
      <c r="H1" s="206"/>
      <c r="J1" s="201" t="s">
        <v>48</v>
      </c>
      <c r="K1" s="201"/>
      <c r="O1" s="136"/>
      <c r="P1" s="137"/>
      <c r="Q1" s="137"/>
      <c r="R1" s="137"/>
      <c r="S1" s="137"/>
      <c r="U1" s="195" t="s">
        <v>49</v>
      </c>
      <c r="V1" s="196"/>
      <c r="W1" s="197"/>
      <c r="X1" s="198" t="s">
        <v>50</v>
      </c>
      <c r="Y1" s="199"/>
      <c r="Z1" s="199"/>
      <c r="AA1" s="200"/>
      <c r="AB1" s="139"/>
      <c r="AC1" s="139"/>
      <c r="AD1" s="139"/>
      <c r="AE1" s="139"/>
      <c r="AF1" s="139"/>
      <c r="AG1" s="139"/>
    </row>
    <row r="2" spans="1:33" ht="30.75" thickBot="1" x14ac:dyDescent="0.35">
      <c r="A2" s="207" t="s">
        <v>211</v>
      </c>
      <c r="B2" s="208"/>
      <c r="C2" s="208"/>
      <c r="D2" s="108" t="s">
        <v>52</v>
      </c>
      <c r="E2" s="107">
        <f>IFERROR(SUMIF(TrapezeReport[PARTNER NAME],A2,TrapezeReport[TTL Rev]),0)</f>
        <v>2193</v>
      </c>
      <c r="G2" s="95" t="s">
        <v>53</v>
      </c>
      <c r="H2" s="97">
        <f>_xlfn.XLOOKUP(A2,Deductions[PARTNER],Deductions[Bonus],0)</f>
        <v>0</v>
      </c>
      <c r="J2" s="6" t="s">
        <v>30</v>
      </c>
      <c r="K2" s="105">
        <f>_xlfn.XLOOKUP(A2,Deductions[PARTNER],Deductions[Credentials],0)</f>
        <v>0</v>
      </c>
      <c r="O2" s="140" t="s">
        <v>54</v>
      </c>
      <c r="P2" s="141" t="s">
        <v>55</v>
      </c>
      <c r="Q2" s="142" t="s">
        <v>56</v>
      </c>
      <c r="R2" s="142" t="s">
        <v>57</v>
      </c>
      <c r="S2" s="143" t="s">
        <v>58</v>
      </c>
      <c r="T2" s="143" t="s">
        <v>59</v>
      </c>
      <c r="U2" s="144" t="s">
        <v>60</v>
      </c>
      <c r="V2" s="144" t="s">
        <v>61</v>
      </c>
      <c r="W2" s="144" t="s">
        <v>62</v>
      </c>
      <c r="X2" s="144" t="s">
        <v>63</v>
      </c>
      <c r="Y2" s="141" t="s">
        <v>64</v>
      </c>
      <c r="Z2" s="141" t="s">
        <v>61</v>
      </c>
      <c r="AA2" s="144" t="s">
        <v>62</v>
      </c>
      <c r="AB2" s="144" t="s">
        <v>65</v>
      </c>
      <c r="AC2" s="144" t="s">
        <v>66</v>
      </c>
      <c r="AD2" s="144" t="s">
        <v>67</v>
      </c>
      <c r="AE2" s="144" t="s">
        <v>68</v>
      </c>
      <c r="AF2" s="144" t="s">
        <v>69</v>
      </c>
      <c r="AG2" s="144" t="s">
        <v>70</v>
      </c>
    </row>
    <row r="3" spans="1:33" x14ac:dyDescent="0.25">
      <c r="G3" s="75" t="s">
        <v>71</v>
      </c>
      <c r="H3" s="97">
        <f>_xlfn.XLOOKUP(A2,Deductions[PARTNER],Deductions[[Other Income ]],0)</f>
        <v>0</v>
      </c>
      <c r="J3" s="6" t="s">
        <v>31</v>
      </c>
      <c r="K3" s="105">
        <f>_xlfn.XLOOKUP(A2,Deductions[PARTNER],Deductions[LIFT LEASE TOTAL],0)</f>
        <v>370</v>
      </c>
      <c r="O3" s="136" t="str" cm="1">
        <f t="array" ref="O3">_xlfn._xlws.FILTER(SumUberReport[[WeekN]:[Total Rev]],SumUberReport[PARTNER NAME]=$A$2,"No Data for the Selected Partner")</f>
        <v>No Data for the Selected Partner</v>
      </c>
      <c r="P3" s="145"/>
      <c r="Q3" s="146"/>
      <c r="R3" s="146"/>
      <c r="T3" s="147"/>
      <c r="U3" s="139"/>
      <c r="V3" s="139"/>
      <c r="W3" s="147"/>
      <c r="X3" s="148"/>
      <c r="Y3" s="148"/>
      <c r="Z3" s="139"/>
      <c r="AA3" s="147"/>
      <c r="AB3" s="148"/>
      <c r="AC3" s="139"/>
      <c r="AD3" s="139"/>
      <c r="AE3" s="139"/>
      <c r="AF3" s="139"/>
      <c r="AG3" s="139"/>
    </row>
    <row r="4" spans="1:33" ht="21.75" thickBot="1" x14ac:dyDescent="0.4">
      <c r="A4" s="101" t="s">
        <v>72</v>
      </c>
      <c r="B4" s="209">
        <f>IFERROR(E2+H5-K7+AG5-E7,0)</f>
        <v>1470.2519</v>
      </c>
      <c r="C4" s="210"/>
      <c r="D4" s="211" t="s">
        <v>35</v>
      </c>
      <c r="E4" s="211"/>
      <c r="G4" s="99" t="s">
        <v>29</v>
      </c>
      <c r="H4" s="98">
        <f>_xlfn.XLOOKUP(A2,Deductions[PARTNER],Deductions[[Reimbursement ]],0)</f>
        <v>0</v>
      </c>
      <c r="I4" s="79"/>
      <c r="J4" s="6" t="s">
        <v>73</v>
      </c>
      <c r="K4" s="105">
        <f>SUMIF(TrapezeReport[PARTNER NAME],A2,TrapezeReport[Cash Fares Collected])</f>
        <v>14</v>
      </c>
      <c r="O4" s="136"/>
      <c r="P4" s="145"/>
      <c r="Q4" s="146"/>
      <c r="R4" s="146"/>
      <c r="T4" s="147"/>
      <c r="U4" s="139"/>
      <c r="V4" s="139"/>
      <c r="W4" s="147"/>
      <c r="X4" s="148"/>
      <c r="Y4" s="148"/>
      <c r="Z4" s="139"/>
      <c r="AA4" s="147"/>
      <c r="AB4" s="139"/>
      <c r="AC4" s="148"/>
      <c r="AD4" s="139"/>
      <c r="AE4" s="139"/>
      <c r="AF4" s="139"/>
      <c r="AG4" s="139"/>
    </row>
    <row r="5" spans="1:33" ht="21" x14ac:dyDescent="0.35">
      <c r="A5" s="76"/>
      <c r="B5" s="77"/>
      <c r="C5" s="78"/>
      <c r="D5" s="175" t="s">
        <v>74</v>
      </c>
      <c r="E5" s="177" cm="1">
        <f t="array" ref="E5">SUM(_xlfn._xlws.FILTER(CoastTransactions[Amount],CoastTransactions[PARTNER NAME]=A2,0))</f>
        <v>273</v>
      </c>
      <c r="G5" s="94" t="s">
        <v>75</v>
      </c>
      <c r="H5" s="100">
        <f>SUM(H2:H4)</f>
        <v>0</v>
      </c>
      <c r="I5" s="79"/>
      <c r="J5" s="107" t="s">
        <v>32</v>
      </c>
      <c r="K5" s="105">
        <f>_xlfn.XLOOKUP(A2,Deductions[PARTNER],Deductions[Violation],0)</f>
        <v>0</v>
      </c>
      <c r="O5" s="149" t="s">
        <v>72</v>
      </c>
      <c r="P5" s="150">
        <f>SUM(P3:P4)</f>
        <v>0</v>
      </c>
      <c r="Q5" s="151">
        <f t="shared" ref="Q5:R5" si="0">SUM(Q3:Q4)</f>
        <v>0</v>
      </c>
      <c r="R5" s="151">
        <f t="shared" si="0"/>
        <v>0</v>
      </c>
      <c r="S5" s="150"/>
      <c r="T5" s="152">
        <f>SUM(T3:T4)</f>
        <v>0</v>
      </c>
      <c r="U5" s="153">
        <f t="shared" ref="U5:Z5" si="1">SUM(U3:U4)</f>
        <v>0</v>
      </c>
      <c r="V5" s="153">
        <f t="shared" si="1"/>
        <v>0</v>
      </c>
      <c r="W5" s="153">
        <f t="shared" si="1"/>
        <v>0</v>
      </c>
      <c r="X5" s="151"/>
      <c r="Y5" s="154"/>
      <c r="Z5" s="153">
        <f t="shared" si="1"/>
        <v>0</v>
      </c>
      <c r="AA5" s="153">
        <f>SUM(AA3:AA4)</f>
        <v>0</v>
      </c>
      <c r="AB5" s="154"/>
      <c r="AC5" s="153">
        <f>SUM(AC3:AC4)</f>
        <v>0</v>
      </c>
      <c r="AD5" s="153">
        <f t="shared" ref="AD5:AG5" si="2">SUM(AD3:AD4)</f>
        <v>0</v>
      </c>
      <c r="AE5" s="153">
        <f t="shared" si="2"/>
        <v>0</v>
      </c>
      <c r="AF5" s="153">
        <f t="shared" si="2"/>
        <v>0</v>
      </c>
      <c r="AG5" s="153">
        <f t="shared" si="2"/>
        <v>0</v>
      </c>
    </row>
    <row r="6" spans="1:33" ht="21.75" thickBot="1" x14ac:dyDescent="0.4">
      <c r="A6" s="76"/>
      <c r="B6" s="77"/>
      <c r="C6" s="78"/>
      <c r="D6" s="61" t="s">
        <v>76</v>
      </c>
      <c r="E6" s="86" cm="1">
        <f t="array" ref="E6">SUM(_xlfn._xlws.FILTER(TrapezeFuel[Calculated Fuel Cost],TrapezeFuel[PARTNER NAME]=A2,0))</f>
        <v>184.25190000000001</v>
      </c>
      <c r="G6" s="94"/>
      <c r="H6" s="100"/>
      <c r="I6" s="79"/>
      <c r="J6" s="96" t="s">
        <v>77</v>
      </c>
      <c r="K6" s="106">
        <f>_xlfn.XLOOKUP(A2,Deductions[PARTNER],Deductions[Other Deduction],0)</f>
        <v>250</v>
      </c>
      <c r="O6"/>
      <c r="R6"/>
      <c r="S6"/>
      <c r="T6"/>
      <c r="U6"/>
      <c r="V6"/>
      <c r="W6"/>
      <c r="X6"/>
      <c r="Y6"/>
      <c r="Z6"/>
    </row>
    <row r="7" spans="1:33" ht="21" x14ac:dyDescent="0.35">
      <c r="A7" s="76"/>
      <c r="B7" s="77"/>
      <c r="C7" s="78"/>
      <c r="D7" s="176" t="s">
        <v>78</v>
      </c>
      <c r="E7" s="178">
        <f>IF(E5-E6&lt;0,0,E5-E6)</f>
        <v>88.748099999999994</v>
      </c>
      <c r="G7" s="94"/>
      <c r="H7" s="100"/>
      <c r="I7" s="79"/>
      <c r="J7" s="79" t="s">
        <v>48</v>
      </c>
      <c r="K7" s="105">
        <f>IFERROR(SUM(K2:K6),0)</f>
        <v>634</v>
      </c>
      <c r="O7"/>
      <c r="R7"/>
      <c r="S7"/>
      <c r="T7"/>
      <c r="U7"/>
      <c r="V7"/>
      <c r="W7"/>
      <c r="X7"/>
      <c r="Y7"/>
      <c r="Z7"/>
      <c r="AG7" s="74"/>
    </row>
    <row r="8" spans="1:33" ht="15.75" thickBot="1" x14ac:dyDescent="0.3">
      <c r="F8" s="80"/>
      <c r="G8" s="80"/>
      <c r="H8" s="79"/>
      <c r="O8"/>
      <c r="R8"/>
      <c r="S8"/>
      <c r="T8"/>
      <c r="U8"/>
      <c r="V8"/>
      <c r="W8"/>
      <c r="X8"/>
      <c r="Y8"/>
      <c r="Z8"/>
    </row>
    <row r="9" spans="1:33" ht="23.25" thickBot="1" x14ac:dyDescent="0.4">
      <c r="A9" s="202" t="s">
        <v>79</v>
      </c>
      <c r="B9" s="203"/>
      <c r="C9" s="203"/>
      <c r="D9" s="203"/>
      <c r="E9" s="203"/>
      <c r="F9" s="203"/>
      <c r="G9" s="203"/>
      <c r="H9" s="203"/>
      <c r="I9" s="203"/>
      <c r="J9" s="203"/>
      <c r="K9" s="203"/>
      <c r="L9" s="204"/>
      <c r="O9" s="212" t="s">
        <v>80</v>
      </c>
      <c r="P9" s="213"/>
      <c r="Q9" s="213"/>
      <c r="R9" s="213"/>
      <c r="S9" s="213"/>
      <c r="T9" s="213"/>
      <c r="U9" s="213"/>
      <c r="V9" s="213"/>
      <c r="W9" s="213"/>
      <c r="X9" s="213"/>
      <c r="Y9" s="213"/>
      <c r="Z9" s="214"/>
    </row>
    <row r="10" spans="1:33" ht="37.9" customHeight="1" thickBot="1" x14ac:dyDescent="0.3">
      <c r="A10" s="82" t="s">
        <v>1</v>
      </c>
      <c r="B10" s="83" t="s">
        <v>81</v>
      </c>
      <c r="C10" s="83" t="s">
        <v>82</v>
      </c>
      <c r="D10" s="83" t="s">
        <v>83</v>
      </c>
      <c r="E10" s="83" t="s">
        <v>84</v>
      </c>
      <c r="F10" s="83" t="s">
        <v>85</v>
      </c>
      <c r="G10" s="83" t="s">
        <v>86</v>
      </c>
      <c r="H10" s="83" t="s">
        <v>87</v>
      </c>
      <c r="I10" s="83" t="s">
        <v>88</v>
      </c>
      <c r="J10" s="83" t="s">
        <v>89</v>
      </c>
      <c r="K10" s="83" t="s">
        <v>90</v>
      </c>
      <c r="L10" s="84" t="s">
        <v>91</v>
      </c>
      <c r="O10" s="155" t="s">
        <v>39</v>
      </c>
      <c r="P10" s="156" t="s">
        <v>92</v>
      </c>
      <c r="Q10" s="157" t="s">
        <v>93</v>
      </c>
      <c r="R10" s="157" t="s">
        <v>94</v>
      </c>
      <c r="S10" s="158" t="s">
        <v>63</v>
      </c>
      <c r="T10" s="158" t="s">
        <v>64</v>
      </c>
      <c r="U10" s="159" t="s">
        <v>95</v>
      </c>
      <c r="V10" s="159" t="s">
        <v>96</v>
      </c>
      <c r="W10" s="160" t="s">
        <v>56</v>
      </c>
      <c r="X10" s="161" t="s">
        <v>97</v>
      </c>
      <c r="Y10" s="181" t="s">
        <v>98</v>
      </c>
      <c r="Z10" s="181" t="s">
        <v>68</v>
      </c>
    </row>
    <row r="11" spans="1:33" ht="5.45" customHeight="1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O11" s="85"/>
      <c r="P11" s="85"/>
      <c r="Q11" s="85"/>
      <c r="R11" s="180"/>
      <c r="S11" s="180"/>
      <c r="T11" s="180"/>
      <c r="U11" s="180"/>
      <c r="V11" s="180"/>
      <c r="W11" s="180"/>
      <c r="X11" s="180"/>
      <c r="Y11" s="180"/>
      <c r="Z11" s="180"/>
    </row>
    <row r="12" spans="1:33" x14ac:dyDescent="0.25">
      <c r="A12" s="64" cm="1">
        <f t="array" ref="A12:L21">_xlfn._xlws.FILTER(TrapezeReport[[Date]:[Cash Fares Collected]],TrapezeReport[PARTNER NAME]=NewSheet!A2,"No Data")</f>
        <v>45628</v>
      </c>
      <c r="B12" t="str">
        <v>LIFT VAN</v>
      </c>
      <c r="C12" s="89">
        <v>15</v>
      </c>
      <c r="D12" s="61" t="str">
        <v>902</v>
      </c>
      <c r="E12" s="86">
        <v>0.5</v>
      </c>
      <c r="F12" s="86">
        <v>10.220000000000001</v>
      </c>
      <c r="G12" s="86">
        <v>9.7200000000000006</v>
      </c>
      <c r="H12" s="86">
        <v>109.4</v>
      </c>
      <c r="I12" s="74" t="str">
        <v>MVO TRANSPORTATION</v>
      </c>
      <c r="J12" s="4">
        <v>21.5</v>
      </c>
      <c r="K12" s="74">
        <v>322.5</v>
      </c>
      <c r="L12" s="74">
        <v>2.8</v>
      </c>
      <c r="O12" s="64" t="str" cm="1">
        <f t="array" ref="O12">_xlfn._xlws.FILTER(UberReport[[Week]:[Tolls]],UberReport[PARTNER NAME]=$A$2,"No Data for the Selected Partner")</f>
        <v>No Data for the Selected Partner</v>
      </c>
    </row>
    <row r="13" spans="1:33" x14ac:dyDescent="0.25">
      <c r="A13" s="64">
        <v>45629</v>
      </c>
      <c r="B13" t="str">
        <v>LIFT VAN</v>
      </c>
      <c r="C13" s="89">
        <v>10</v>
      </c>
      <c r="D13" s="61" t="str">
        <v>902</v>
      </c>
      <c r="E13" s="86">
        <v>0.5</v>
      </c>
      <c r="F13" s="86">
        <v>10.67</v>
      </c>
      <c r="G13" s="86">
        <v>10.17</v>
      </c>
      <c r="H13" s="86">
        <v>112.9</v>
      </c>
      <c r="I13" s="74" t="str">
        <v>MVO TRANSPORTATION</v>
      </c>
      <c r="J13" s="4">
        <v>21.5</v>
      </c>
      <c r="K13" s="74">
        <v>215</v>
      </c>
      <c r="L13" s="74">
        <v>0</v>
      </c>
    </row>
    <row r="14" spans="1:33" x14ac:dyDescent="0.25">
      <c r="A14" s="64">
        <v>45630</v>
      </c>
      <c r="B14" t="str">
        <v>LIFT VAN</v>
      </c>
      <c r="C14" s="89">
        <v>11</v>
      </c>
      <c r="D14" s="61" t="str">
        <v>902</v>
      </c>
      <c r="E14" s="86">
        <v>0.5</v>
      </c>
      <c r="F14" s="86">
        <v>10.35</v>
      </c>
      <c r="G14" s="86">
        <v>9.85</v>
      </c>
      <c r="H14" s="86">
        <v>116.9</v>
      </c>
      <c r="I14" s="74" t="str">
        <v>MVO TRANSPORTATION</v>
      </c>
      <c r="J14" s="4">
        <v>21.5</v>
      </c>
      <c r="K14" s="74">
        <v>236.5</v>
      </c>
      <c r="L14" s="74">
        <v>2.8</v>
      </c>
    </row>
    <row r="15" spans="1:33" x14ac:dyDescent="0.25">
      <c r="A15" s="64">
        <v>45631</v>
      </c>
      <c r="B15" t="str">
        <v>LIFT VAN</v>
      </c>
      <c r="C15" s="89">
        <v>2</v>
      </c>
      <c r="D15" s="61" t="str">
        <v>902</v>
      </c>
      <c r="E15" s="86">
        <v>0</v>
      </c>
      <c r="F15" s="86">
        <v>2.4300000000000002</v>
      </c>
      <c r="G15" s="86">
        <v>2.4300000000000002</v>
      </c>
      <c r="H15" s="86">
        <v>15.8</v>
      </c>
      <c r="I15" s="74" t="str">
        <v>MVO TRANSPORTATION</v>
      </c>
      <c r="J15" s="4">
        <v>21.5</v>
      </c>
      <c r="K15" s="74">
        <v>43</v>
      </c>
      <c r="L15" s="74">
        <v>0</v>
      </c>
    </row>
    <row r="16" spans="1:33" x14ac:dyDescent="0.25">
      <c r="A16" s="64">
        <v>45632</v>
      </c>
      <c r="B16" t="str">
        <v>LIFT VAN</v>
      </c>
      <c r="C16" s="89">
        <v>0</v>
      </c>
      <c r="D16" s="61" t="str">
        <v>902</v>
      </c>
      <c r="E16" s="86">
        <v>0</v>
      </c>
      <c r="F16" s="86">
        <v>0</v>
      </c>
      <c r="G16" s="86">
        <v>0</v>
      </c>
      <c r="H16" s="86">
        <v>0</v>
      </c>
      <c r="I16" s="74" t="str">
        <v>MVO TRANSPORTATION</v>
      </c>
      <c r="J16" s="4">
        <v>21.5</v>
      </c>
      <c r="K16" s="74">
        <v>0</v>
      </c>
      <c r="L16" s="74">
        <v>0</v>
      </c>
    </row>
    <row r="17" spans="1:12" x14ac:dyDescent="0.25">
      <c r="A17" s="64">
        <v>45635</v>
      </c>
      <c r="B17" t="str">
        <v>LIFT VAN</v>
      </c>
      <c r="C17" s="89">
        <v>15</v>
      </c>
      <c r="D17" s="61" t="str">
        <v>902</v>
      </c>
      <c r="E17" s="86">
        <v>0.5</v>
      </c>
      <c r="F17" s="86">
        <v>10.72</v>
      </c>
      <c r="G17" s="86">
        <v>10.220000000000001</v>
      </c>
      <c r="H17" s="86">
        <v>110</v>
      </c>
      <c r="I17" s="74" t="str">
        <v>MVO TRANSPORTATION</v>
      </c>
      <c r="J17" s="4">
        <v>21.5</v>
      </c>
      <c r="K17" s="74">
        <v>322.5</v>
      </c>
      <c r="L17" s="74">
        <v>0</v>
      </c>
    </row>
    <row r="18" spans="1:12" x14ac:dyDescent="0.25">
      <c r="A18" s="64">
        <v>45636</v>
      </c>
      <c r="B18" t="str">
        <v>LIFT VAN</v>
      </c>
      <c r="C18" s="89">
        <v>13</v>
      </c>
      <c r="D18" s="61" t="str">
        <v>902</v>
      </c>
      <c r="E18" s="86">
        <v>0.5</v>
      </c>
      <c r="F18" s="86">
        <v>10.02</v>
      </c>
      <c r="G18" s="86">
        <v>9.52</v>
      </c>
      <c r="H18" s="86">
        <v>126</v>
      </c>
      <c r="I18" s="74" t="str">
        <v>MVO TRANSPORTATION</v>
      </c>
      <c r="J18" s="4">
        <v>21.5</v>
      </c>
      <c r="K18" s="74">
        <v>279.5</v>
      </c>
      <c r="L18" s="74">
        <v>2.8</v>
      </c>
    </row>
    <row r="19" spans="1:12" x14ac:dyDescent="0.25">
      <c r="A19" s="64">
        <v>45637</v>
      </c>
      <c r="B19" t="str">
        <v>LIFT VAN</v>
      </c>
      <c r="C19" s="89">
        <v>12</v>
      </c>
      <c r="D19" s="61" t="str">
        <v>902</v>
      </c>
      <c r="E19" s="86">
        <v>0.5</v>
      </c>
      <c r="F19" s="86">
        <v>9.3800000000000008</v>
      </c>
      <c r="G19" s="86">
        <v>8.8800000000000008</v>
      </c>
      <c r="H19" s="86">
        <v>114</v>
      </c>
      <c r="I19" s="74" t="str">
        <v>MVO TRANSPORTATION</v>
      </c>
      <c r="J19" s="4">
        <v>21.5</v>
      </c>
      <c r="K19" s="74">
        <v>258</v>
      </c>
      <c r="L19" s="74">
        <v>2.8</v>
      </c>
    </row>
    <row r="20" spans="1:12" x14ac:dyDescent="0.25">
      <c r="A20" s="64">
        <v>45638</v>
      </c>
      <c r="B20" t="str">
        <v>LIFT VAN</v>
      </c>
      <c r="C20" s="89">
        <v>11</v>
      </c>
      <c r="D20" s="61" t="str">
        <v>902</v>
      </c>
      <c r="E20" s="86">
        <v>0.5</v>
      </c>
      <c r="F20" s="86">
        <v>10.5</v>
      </c>
      <c r="G20" s="86">
        <v>10</v>
      </c>
      <c r="H20" s="86">
        <v>112.2</v>
      </c>
      <c r="I20" s="74" t="str">
        <v>MVO TRANSPORTATION</v>
      </c>
      <c r="J20" s="4">
        <v>21.5</v>
      </c>
      <c r="K20" s="74">
        <v>236.5</v>
      </c>
      <c r="L20" s="74">
        <v>0</v>
      </c>
    </row>
    <row r="21" spans="1:12" x14ac:dyDescent="0.25">
      <c r="A21" s="64">
        <v>45639</v>
      </c>
      <c r="B21" t="str">
        <v>LIFT VAN</v>
      </c>
      <c r="C21" s="89">
        <v>13</v>
      </c>
      <c r="D21" s="61" t="str">
        <v>902</v>
      </c>
      <c r="E21" s="86">
        <v>0.5</v>
      </c>
      <c r="F21" s="86">
        <v>10.17</v>
      </c>
      <c r="G21" s="86">
        <v>9.67</v>
      </c>
      <c r="H21" s="86">
        <v>125.9</v>
      </c>
      <c r="I21" s="74" t="str">
        <v>MVO TRANSPORTATION</v>
      </c>
      <c r="J21" s="4">
        <v>21.5</v>
      </c>
      <c r="K21" s="74">
        <v>279.5</v>
      </c>
      <c r="L21" s="74">
        <v>2.8</v>
      </c>
    </row>
    <row r="22" spans="1:12" x14ac:dyDescent="0.25">
      <c r="C22" s="89"/>
      <c r="E22" s="86"/>
      <c r="F22" s="86"/>
      <c r="G22" s="86"/>
      <c r="J22" s="4"/>
      <c r="K22" s="74"/>
      <c r="L22" s="74"/>
    </row>
    <row r="23" spans="1:12" x14ac:dyDescent="0.25">
      <c r="C23" s="89"/>
      <c r="E23" s="86"/>
      <c r="F23" s="86"/>
      <c r="G23" s="86"/>
      <c r="J23" s="4"/>
      <c r="K23" s="74"/>
      <c r="L23" s="74"/>
    </row>
    <row r="24" spans="1:12" x14ac:dyDescent="0.25">
      <c r="C24" s="89"/>
      <c r="E24" s="86"/>
      <c r="F24" s="86"/>
      <c r="G24" s="86"/>
      <c r="J24" s="4"/>
      <c r="K24" s="74"/>
      <c r="L24" s="74"/>
    </row>
    <row r="25" spans="1:12" x14ac:dyDescent="0.25">
      <c r="C25" s="89"/>
      <c r="E25" s="86"/>
      <c r="F25" s="86"/>
      <c r="G25" s="86"/>
      <c r="J25" s="4"/>
      <c r="K25" s="74"/>
      <c r="L25" s="74"/>
    </row>
    <row r="26" spans="1:12" x14ac:dyDescent="0.25">
      <c r="C26" s="89"/>
      <c r="E26" s="86"/>
      <c r="F26" s="86"/>
      <c r="G26" s="86"/>
      <c r="J26" s="4"/>
      <c r="K26" s="74"/>
      <c r="L26" s="74"/>
    </row>
    <row r="27" spans="1:12" x14ac:dyDescent="0.25">
      <c r="C27" s="89"/>
      <c r="E27" s="86"/>
      <c r="F27" s="86"/>
      <c r="G27" s="86"/>
      <c r="J27" s="4"/>
      <c r="K27" s="74"/>
      <c r="L27" s="74"/>
    </row>
    <row r="28" spans="1:12" x14ac:dyDescent="0.25">
      <c r="C28" s="89"/>
      <c r="E28" s="86"/>
      <c r="F28" s="86"/>
      <c r="G28" s="86"/>
      <c r="J28" s="4"/>
      <c r="K28" s="74"/>
      <c r="L28" s="74"/>
    </row>
    <row r="29" spans="1:12" x14ac:dyDescent="0.25">
      <c r="C29" s="89"/>
      <c r="E29" s="86"/>
      <c r="F29" s="86"/>
      <c r="G29" s="86"/>
      <c r="J29" s="4"/>
      <c r="K29" s="74"/>
      <c r="L29" s="74"/>
    </row>
    <row r="30" spans="1:12" x14ac:dyDescent="0.25">
      <c r="C30" s="89"/>
      <c r="E30" s="86"/>
      <c r="F30" s="86"/>
      <c r="G30" s="86"/>
      <c r="J30" s="4"/>
      <c r="K30" s="74"/>
      <c r="L30" s="74"/>
    </row>
    <row r="31" spans="1:12" x14ac:dyDescent="0.25">
      <c r="C31" s="89"/>
      <c r="E31" s="86"/>
      <c r="F31" s="86"/>
      <c r="G31" s="86"/>
      <c r="J31" s="4"/>
      <c r="K31" s="74"/>
      <c r="L31" s="74"/>
    </row>
    <row r="32" spans="1:12" x14ac:dyDescent="0.25">
      <c r="C32" s="89"/>
      <c r="E32" s="86"/>
      <c r="F32" s="86"/>
      <c r="G32" s="86"/>
      <c r="J32" s="4"/>
      <c r="K32" s="74"/>
      <c r="L32" s="74"/>
    </row>
    <row r="33" spans="3:12" x14ac:dyDescent="0.25">
      <c r="C33" s="89"/>
      <c r="E33" s="86"/>
      <c r="F33" s="86"/>
      <c r="G33" s="86"/>
      <c r="J33" s="4"/>
      <c r="K33" s="74"/>
      <c r="L33" s="74"/>
    </row>
    <row r="34" spans="3:12" x14ac:dyDescent="0.25">
      <c r="C34" s="89"/>
      <c r="E34" s="86"/>
      <c r="F34" s="86"/>
      <c r="G34" s="86"/>
      <c r="J34" s="4"/>
      <c r="K34" s="74"/>
      <c r="L34" s="74"/>
    </row>
    <row r="35" spans="3:12" x14ac:dyDescent="0.25">
      <c r="C35" s="89"/>
      <c r="E35" s="86"/>
      <c r="F35" s="86"/>
      <c r="G35" s="86"/>
      <c r="J35" s="4"/>
      <c r="K35" s="74"/>
      <c r="L35" s="74"/>
    </row>
    <row r="36" spans="3:12" x14ac:dyDescent="0.25">
      <c r="C36" s="89"/>
      <c r="E36" s="86"/>
      <c r="F36" s="86"/>
      <c r="G36" s="86"/>
      <c r="J36" s="4"/>
      <c r="K36" s="74"/>
      <c r="L36" s="74"/>
    </row>
    <row r="37" spans="3:12" x14ac:dyDescent="0.25">
      <c r="C37" s="89"/>
      <c r="E37" s="86"/>
      <c r="F37" s="86"/>
      <c r="G37" s="86"/>
      <c r="J37" s="4"/>
      <c r="K37" s="74"/>
      <c r="L37" s="74"/>
    </row>
    <row r="38" spans="3:12" x14ac:dyDescent="0.25">
      <c r="C38" s="89"/>
      <c r="E38" s="86"/>
      <c r="F38" s="86"/>
      <c r="G38" s="86"/>
      <c r="J38" s="4"/>
      <c r="K38" s="74"/>
      <c r="L38" s="74"/>
    </row>
    <row r="39" spans="3:12" x14ac:dyDescent="0.25">
      <c r="C39" s="89"/>
      <c r="E39" s="86"/>
      <c r="F39" s="86"/>
      <c r="G39" s="86"/>
      <c r="J39" s="4"/>
      <c r="K39" s="74"/>
      <c r="L39" s="74"/>
    </row>
    <row r="40" spans="3:12" x14ac:dyDescent="0.25">
      <c r="C40" s="89"/>
      <c r="E40" s="86"/>
      <c r="F40" s="86"/>
      <c r="G40" s="86"/>
      <c r="J40" s="4"/>
      <c r="K40" s="74"/>
      <c r="L40" s="74"/>
    </row>
    <row r="41" spans="3:12" x14ac:dyDescent="0.25">
      <c r="C41" s="89"/>
      <c r="E41" s="86"/>
      <c r="F41" s="86"/>
      <c r="G41" s="86"/>
      <c r="J41" s="4"/>
      <c r="K41" s="74"/>
      <c r="L41" s="74"/>
    </row>
    <row r="42" spans="3:12" x14ac:dyDescent="0.25">
      <c r="C42" s="89"/>
      <c r="E42" s="86"/>
      <c r="F42" s="86"/>
      <c r="G42" s="86"/>
      <c r="J42" s="4"/>
      <c r="K42" s="74"/>
      <c r="L42" s="74"/>
    </row>
    <row r="43" spans="3:12" x14ac:dyDescent="0.25">
      <c r="C43" s="89"/>
      <c r="E43" s="86"/>
      <c r="F43" s="86"/>
      <c r="G43" s="86"/>
      <c r="J43" s="4"/>
      <c r="K43" s="74"/>
      <c r="L43" s="74"/>
    </row>
    <row r="44" spans="3:12" x14ac:dyDescent="0.25">
      <c r="C44" s="89"/>
      <c r="E44" s="86"/>
      <c r="F44" s="86"/>
      <c r="G44" s="86"/>
      <c r="J44" s="4"/>
      <c r="K44" s="74"/>
      <c r="L44" s="74"/>
    </row>
    <row r="45" spans="3:12" x14ac:dyDescent="0.25">
      <c r="C45" s="89"/>
      <c r="E45" s="86"/>
      <c r="F45" s="86"/>
      <c r="G45" s="86"/>
      <c r="J45" s="4"/>
      <c r="K45" s="74"/>
      <c r="L45" s="74"/>
    </row>
    <row r="46" spans="3:12" x14ac:dyDescent="0.25">
      <c r="C46" s="89"/>
      <c r="E46" s="86"/>
      <c r="F46" s="86"/>
      <c r="G46" s="86"/>
      <c r="J46" s="4"/>
      <c r="K46" s="74"/>
      <c r="L46" s="74"/>
    </row>
    <row r="47" spans="3:12" x14ac:dyDescent="0.25">
      <c r="C47" s="89"/>
      <c r="E47" s="86"/>
      <c r="F47" s="86"/>
      <c r="G47" s="86"/>
      <c r="J47" s="4"/>
      <c r="K47" s="74"/>
      <c r="L47" s="74"/>
    </row>
    <row r="48" spans="3:12" x14ac:dyDescent="0.25">
      <c r="C48" s="89"/>
      <c r="F48" s="86"/>
      <c r="G48" s="86"/>
      <c r="J48" s="4"/>
      <c r="K48" s="74"/>
      <c r="L48" s="74"/>
    </row>
    <row r="49" spans="3:12" x14ac:dyDescent="0.25">
      <c r="C49" s="89"/>
      <c r="F49" s="86"/>
      <c r="G49" s="86"/>
      <c r="J49" s="4"/>
      <c r="K49" s="74"/>
      <c r="L49" s="74"/>
    </row>
    <row r="50" spans="3:12" x14ac:dyDescent="0.25">
      <c r="C50" s="89"/>
      <c r="F50" s="86"/>
      <c r="G50" s="86"/>
      <c r="J50" s="4"/>
      <c r="K50" s="74"/>
      <c r="L50" s="74"/>
    </row>
    <row r="51" spans="3:12" x14ac:dyDescent="0.25">
      <c r="C51" s="89"/>
      <c r="F51" s="86"/>
      <c r="G51" s="86"/>
      <c r="J51" s="4"/>
      <c r="K51" s="74"/>
      <c r="L51" s="74"/>
    </row>
    <row r="52" spans="3:12" x14ac:dyDescent="0.25">
      <c r="C52" s="89"/>
      <c r="F52" s="86"/>
      <c r="G52" s="86"/>
      <c r="J52" s="4"/>
      <c r="K52" s="74"/>
      <c r="L52" s="74"/>
    </row>
    <row r="53" spans="3:12" x14ac:dyDescent="0.25">
      <c r="C53" s="89"/>
      <c r="F53" s="86"/>
      <c r="G53" s="86"/>
      <c r="J53" s="4"/>
      <c r="K53" s="74"/>
      <c r="L53" s="74"/>
    </row>
    <row r="54" spans="3:12" x14ac:dyDescent="0.25">
      <c r="C54" s="89"/>
      <c r="F54" s="86"/>
      <c r="G54" s="86"/>
      <c r="J54" s="4"/>
      <c r="K54" s="74"/>
      <c r="L54" s="74"/>
    </row>
    <row r="55" spans="3:12" x14ac:dyDescent="0.25">
      <c r="C55" s="89"/>
      <c r="F55" s="86"/>
      <c r="G55" s="86"/>
      <c r="J55" s="4"/>
      <c r="K55" s="74"/>
      <c r="L55" s="74"/>
    </row>
    <row r="56" spans="3:12" x14ac:dyDescent="0.25">
      <c r="C56" s="89"/>
      <c r="F56" s="86"/>
      <c r="G56" s="86"/>
      <c r="J56" s="4"/>
      <c r="K56" s="74"/>
      <c r="L56" s="74"/>
    </row>
    <row r="57" spans="3:12" x14ac:dyDescent="0.25">
      <c r="C57" s="89"/>
      <c r="F57" s="86"/>
      <c r="G57" s="86"/>
      <c r="J57" s="4"/>
      <c r="K57" s="74"/>
      <c r="L57" s="74"/>
    </row>
    <row r="58" spans="3:12" x14ac:dyDescent="0.25">
      <c r="C58" s="89"/>
      <c r="F58" s="86"/>
      <c r="G58" s="86"/>
      <c r="J58" s="4"/>
      <c r="K58" s="74"/>
      <c r="L58" s="74"/>
    </row>
    <row r="59" spans="3:12" x14ac:dyDescent="0.25">
      <c r="C59" s="89"/>
      <c r="F59" s="86"/>
      <c r="G59" s="86"/>
      <c r="J59" s="4"/>
      <c r="K59" s="74"/>
      <c r="L59" s="74"/>
    </row>
    <row r="60" spans="3:12" x14ac:dyDescent="0.25">
      <c r="C60" s="89"/>
      <c r="F60" s="86"/>
      <c r="G60" s="86"/>
      <c r="J60" s="4"/>
      <c r="K60" s="74"/>
      <c r="L60" s="74"/>
    </row>
    <row r="61" spans="3:12" x14ac:dyDescent="0.25">
      <c r="C61" s="89"/>
      <c r="F61" s="86"/>
      <c r="G61" s="86"/>
      <c r="J61" s="4"/>
      <c r="K61" s="74"/>
      <c r="L61" s="74"/>
    </row>
    <row r="62" spans="3:12" x14ac:dyDescent="0.25">
      <c r="F62" s="86"/>
      <c r="G62" s="86"/>
      <c r="J62" s="4"/>
      <c r="K62" s="74"/>
      <c r="L62" s="74"/>
    </row>
    <row r="63" spans="3:12" x14ac:dyDescent="0.25">
      <c r="F63" s="86"/>
      <c r="G63" s="86"/>
      <c r="J63" s="4"/>
      <c r="K63" s="74"/>
      <c r="L63" s="74"/>
    </row>
    <row r="64" spans="3:12" x14ac:dyDescent="0.25">
      <c r="F64" s="86"/>
      <c r="G64" s="86"/>
      <c r="J64" s="4"/>
      <c r="K64" s="74"/>
      <c r="L64" s="74"/>
    </row>
    <row r="65" spans="6:12" x14ac:dyDescent="0.25">
      <c r="F65" s="86"/>
      <c r="G65" s="86"/>
      <c r="J65" s="4"/>
      <c r="K65" s="74"/>
      <c r="L65" s="74"/>
    </row>
    <row r="66" spans="6:12" x14ac:dyDescent="0.25">
      <c r="F66" s="86"/>
      <c r="G66" s="86"/>
      <c r="J66" s="4"/>
      <c r="K66" s="74"/>
      <c r="L66" s="74"/>
    </row>
    <row r="67" spans="6:12" x14ac:dyDescent="0.25">
      <c r="F67" s="86"/>
      <c r="G67" s="86"/>
      <c r="J67" s="4"/>
      <c r="K67" s="74"/>
      <c r="L67" s="74"/>
    </row>
    <row r="68" spans="6:12" x14ac:dyDescent="0.25">
      <c r="F68" s="86"/>
      <c r="G68" s="86"/>
      <c r="J68" s="4"/>
      <c r="K68" s="74"/>
      <c r="L68" s="74"/>
    </row>
    <row r="69" spans="6:12" x14ac:dyDescent="0.25">
      <c r="F69" s="86"/>
      <c r="G69" s="86"/>
      <c r="J69" s="4"/>
      <c r="K69" s="74"/>
      <c r="L69" s="74"/>
    </row>
    <row r="70" spans="6:12" x14ac:dyDescent="0.25">
      <c r="F70" s="86"/>
      <c r="G70" s="86"/>
      <c r="J70" s="4"/>
      <c r="K70" s="74"/>
      <c r="L70" s="74"/>
    </row>
    <row r="71" spans="6:12" x14ac:dyDescent="0.25">
      <c r="F71" s="86"/>
      <c r="G71" s="86"/>
      <c r="J71" s="4"/>
      <c r="K71" s="74"/>
      <c r="L71" s="74"/>
    </row>
    <row r="72" spans="6:12" x14ac:dyDescent="0.25">
      <c r="F72" s="86"/>
      <c r="G72" s="86"/>
      <c r="J72" s="4"/>
      <c r="K72" s="74"/>
      <c r="L72" s="74"/>
    </row>
    <row r="73" spans="6:12" x14ac:dyDescent="0.25">
      <c r="F73" s="86"/>
      <c r="G73" s="86"/>
      <c r="J73" s="4"/>
      <c r="K73" s="74"/>
      <c r="L73" s="74"/>
    </row>
    <row r="74" spans="6:12" x14ac:dyDescent="0.25">
      <c r="F74" s="86"/>
      <c r="G74" s="86"/>
      <c r="J74" s="4"/>
      <c r="K74" s="74"/>
      <c r="L74" s="74"/>
    </row>
    <row r="75" spans="6:12" x14ac:dyDescent="0.25">
      <c r="F75" s="86"/>
      <c r="G75" s="86"/>
      <c r="J75" s="4"/>
      <c r="K75" s="74"/>
      <c r="L75" s="74"/>
    </row>
    <row r="76" spans="6:12" x14ac:dyDescent="0.25">
      <c r="F76" s="86"/>
      <c r="G76" s="86"/>
      <c r="J76" s="4"/>
      <c r="K76" s="74"/>
      <c r="L76" s="74"/>
    </row>
    <row r="77" spans="6:12" x14ac:dyDescent="0.25">
      <c r="F77" s="86"/>
      <c r="G77" s="86"/>
      <c r="J77" s="4"/>
      <c r="K77" s="74"/>
      <c r="L77" s="74"/>
    </row>
    <row r="78" spans="6:12" x14ac:dyDescent="0.25">
      <c r="F78" s="86"/>
      <c r="G78" s="86"/>
      <c r="J78" s="4"/>
      <c r="K78" s="74"/>
      <c r="L78" s="74"/>
    </row>
    <row r="79" spans="6:12" x14ac:dyDescent="0.25">
      <c r="F79" s="86"/>
      <c r="G79" s="86"/>
      <c r="J79" s="4"/>
      <c r="K79" s="74"/>
      <c r="L79" s="74"/>
    </row>
    <row r="80" spans="6:12" x14ac:dyDescent="0.25">
      <c r="F80" s="86"/>
      <c r="G80" s="86"/>
      <c r="J80" s="4"/>
      <c r="K80" s="74"/>
      <c r="L80" s="74"/>
    </row>
    <row r="81" spans="6:12" x14ac:dyDescent="0.25">
      <c r="F81" s="86"/>
      <c r="G81" s="86"/>
      <c r="J81" s="4"/>
      <c r="K81" s="74"/>
      <c r="L81" s="74"/>
    </row>
    <row r="82" spans="6:12" x14ac:dyDescent="0.25">
      <c r="F82" s="86"/>
      <c r="G82" s="86"/>
      <c r="J82" s="4"/>
      <c r="K82" s="74"/>
      <c r="L82" s="74"/>
    </row>
    <row r="83" spans="6:12" x14ac:dyDescent="0.25">
      <c r="F83" s="86"/>
      <c r="G83" s="86"/>
      <c r="J83" s="4"/>
      <c r="K83" s="74"/>
      <c r="L83" s="74"/>
    </row>
    <row r="84" spans="6:12" x14ac:dyDescent="0.25">
      <c r="F84" s="86"/>
      <c r="G84" s="86"/>
      <c r="J84" s="4"/>
      <c r="K84" s="74"/>
      <c r="L84" s="74"/>
    </row>
    <row r="85" spans="6:12" x14ac:dyDescent="0.25">
      <c r="F85" s="86"/>
      <c r="G85" s="86"/>
      <c r="J85" s="4"/>
      <c r="K85" s="74"/>
      <c r="L85" s="74"/>
    </row>
    <row r="86" spans="6:12" x14ac:dyDescent="0.25">
      <c r="F86" s="86"/>
      <c r="G86" s="86"/>
      <c r="J86" s="4"/>
      <c r="K86" s="74"/>
      <c r="L86" s="74"/>
    </row>
    <row r="87" spans="6:12" x14ac:dyDescent="0.25">
      <c r="F87" s="86"/>
      <c r="G87" s="86"/>
      <c r="J87" s="4"/>
      <c r="K87" s="74"/>
      <c r="L87" s="74"/>
    </row>
    <row r="88" spans="6:12" x14ac:dyDescent="0.25">
      <c r="F88" s="86"/>
      <c r="G88" s="86"/>
      <c r="J88" s="4"/>
      <c r="K88" s="74"/>
      <c r="L88" s="74"/>
    </row>
    <row r="89" spans="6:12" x14ac:dyDescent="0.25">
      <c r="F89" s="86"/>
      <c r="G89" s="86"/>
      <c r="J89" s="4"/>
      <c r="K89" s="74"/>
      <c r="L89" s="74"/>
    </row>
    <row r="90" spans="6:12" x14ac:dyDescent="0.25">
      <c r="F90" s="86"/>
      <c r="G90" s="86"/>
      <c r="J90" s="4"/>
      <c r="K90" s="74"/>
      <c r="L90" s="74"/>
    </row>
    <row r="91" spans="6:12" x14ac:dyDescent="0.25">
      <c r="F91" s="86"/>
      <c r="G91" s="86"/>
      <c r="J91" s="4"/>
      <c r="K91" s="74"/>
      <c r="L91" s="74"/>
    </row>
    <row r="92" spans="6:12" x14ac:dyDescent="0.25">
      <c r="F92" s="86"/>
      <c r="G92" s="86"/>
      <c r="J92" s="4"/>
      <c r="K92" s="74"/>
      <c r="L92" s="74"/>
    </row>
    <row r="93" spans="6:12" x14ac:dyDescent="0.25">
      <c r="F93" s="86"/>
      <c r="G93" s="86"/>
      <c r="J93" s="4"/>
      <c r="K93" s="74"/>
      <c r="L93" s="74"/>
    </row>
    <row r="94" spans="6:12" x14ac:dyDescent="0.25">
      <c r="F94" s="86"/>
      <c r="G94" s="86"/>
      <c r="J94" s="4"/>
      <c r="K94" s="74"/>
      <c r="L94" s="74"/>
    </row>
    <row r="95" spans="6:12" x14ac:dyDescent="0.25">
      <c r="F95" s="86"/>
      <c r="G95" s="86"/>
      <c r="J95" s="4"/>
      <c r="K95" s="74"/>
      <c r="L95" s="74"/>
    </row>
    <row r="96" spans="6:12" x14ac:dyDescent="0.25">
      <c r="F96" s="86"/>
      <c r="G96" s="86"/>
      <c r="J96" s="4"/>
      <c r="K96" s="74"/>
      <c r="L96" s="74"/>
    </row>
    <row r="97" spans="6:12" x14ac:dyDescent="0.25">
      <c r="F97" s="86"/>
      <c r="G97" s="86"/>
      <c r="J97" s="4"/>
      <c r="K97" s="74"/>
      <c r="L97" s="74"/>
    </row>
    <row r="98" spans="6:12" x14ac:dyDescent="0.25">
      <c r="F98" s="86"/>
      <c r="G98" s="86"/>
      <c r="J98" s="4"/>
      <c r="L98" s="74"/>
    </row>
    <row r="99" spans="6:12" x14ac:dyDescent="0.25">
      <c r="F99" s="86"/>
      <c r="G99" s="86"/>
      <c r="J99" s="4"/>
      <c r="L99" s="74"/>
    </row>
    <row r="100" spans="6:12" x14ac:dyDescent="0.25">
      <c r="F100" s="86"/>
      <c r="G100" s="86"/>
      <c r="J100" s="4"/>
      <c r="L100" s="74"/>
    </row>
    <row r="101" spans="6:12" x14ac:dyDescent="0.25">
      <c r="F101" s="86"/>
      <c r="G101" s="86"/>
      <c r="J101" s="4"/>
      <c r="L101" s="74"/>
    </row>
    <row r="102" spans="6:12" x14ac:dyDescent="0.25">
      <c r="F102" s="86"/>
      <c r="G102" s="86"/>
      <c r="J102" s="4"/>
      <c r="L102" s="74"/>
    </row>
    <row r="103" spans="6:12" x14ac:dyDescent="0.25">
      <c r="F103" s="86"/>
      <c r="G103" s="86"/>
      <c r="J103" s="4"/>
      <c r="L103" s="74"/>
    </row>
    <row r="104" spans="6:12" x14ac:dyDescent="0.25">
      <c r="F104" s="86"/>
      <c r="G104" s="86"/>
      <c r="J104" s="4"/>
      <c r="L104" s="74"/>
    </row>
    <row r="105" spans="6:12" x14ac:dyDescent="0.25">
      <c r="F105" s="86"/>
      <c r="G105" s="86"/>
      <c r="J105" s="4"/>
      <c r="L105" s="74"/>
    </row>
    <row r="106" spans="6:12" x14ac:dyDescent="0.25">
      <c r="F106" s="86"/>
      <c r="G106" s="86"/>
      <c r="J106" s="4"/>
      <c r="L106" s="74"/>
    </row>
    <row r="107" spans="6:12" x14ac:dyDescent="0.25">
      <c r="F107" s="86"/>
      <c r="G107" s="86"/>
      <c r="J107" s="4"/>
      <c r="L107" s="74"/>
    </row>
    <row r="108" spans="6:12" x14ac:dyDescent="0.25">
      <c r="F108" s="86"/>
      <c r="G108" s="86"/>
      <c r="J108" s="4"/>
      <c r="L108" s="74"/>
    </row>
    <row r="109" spans="6:12" x14ac:dyDescent="0.25">
      <c r="F109" s="86"/>
      <c r="G109" s="86"/>
      <c r="J109" s="4"/>
      <c r="L109" s="74"/>
    </row>
    <row r="110" spans="6:12" x14ac:dyDescent="0.25">
      <c r="F110" s="86"/>
      <c r="G110" s="86"/>
      <c r="J110" s="4"/>
      <c r="L110" s="74"/>
    </row>
    <row r="111" spans="6:12" x14ac:dyDescent="0.25">
      <c r="F111" s="86"/>
      <c r="G111" s="86"/>
      <c r="J111" s="4"/>
      <c r="L111" s="74"/>
    </row>
    <row r="112" spans="6:12" x14ac:dyDescent="0.25">
      <c r="G112" s="86"/>
      <c r="L112" s="74"/>
    </row>
    <row r="113" spans="7:12" x14ac:dyDescent="0.25">
      <c r="G113" s="86"/>
      <c r="L113" s="74"/>
    </row>
    <row r="114" spans="7:12" x14ac:dyDescent="0.25">
      <c r="G114" s="86"/>
      <c r="L114" s="74"/>
    </row>
    <row r="115" spans="7:12" x14ac:dyDescent="0.25">
      <c r="G115" s="86"/>
      <c r="L115" s="74"/>
    </row>
    <row r="116" spans="7:12" x14ac:dyDescent="0.25">
      <c r="L116" s="74"/>
    </row>
    <row r="117" spans="7:12" x14ac:dyDescent="0.25">
      <c r="L117" s="74"/>
    </row>
    <row r="118" spans="7:12" x14ac:dyDescent="0.25">
      <c r="L118" s="74"/>
    </row>
    <row r="119" spans="7:12" x14ac:dyDescent="0.25">
      <c r="L119" s="74"/>
    </row>
    <row r="120" spans="7:12" x14ac:dyDescent="0.25">
      <c r="L120" s="74"/>
    </row>
    <row r="121" spans="7:12" x14ac:dyDescent="0.25">
      <c r="L121" s="74"/>
    </row>
  </sheetData>
  <protectedRanges>
    <protectedRange sqref="A2:C2" name="Range1"/>
  </protectedRanges>
  <autoFilter ref="A10:L42" xr:uid="{E13C123F-3666-4E8C-A224-BBA714E75230}"/>
  <mergeCells count="10">
    <mergeCell ref="U1:W1"/>
    <mergeCell ref="X1:AA1"/>
    <mergeCell ref="J1:K1"/>
    <mergeCell ref="A9:L9"/>
    <mergeCell ref="D1:E1"/>
    <mergeCell ref="G1:H1"/>
    <mergeCell ref="A2:C2"/>
    <mergeCell ref="B4:C4"/>
    <mergeCell ref="D4:E4"/>
    <mergeCell ref="O9:Z9"/>
  </mergeCells>
  <dataValidations count="1">
    <dataValidation type="list" allowBlank="1" showInputMessage="1" showErrorMessage="1" sqref="A2:C2" xr:uid="{2E6ECD59-43B8-4F57-B3DB-01A9C079679E}">
      <formula1>PartnerList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12A1E-D814-4D5C-8EBC-E8C9DCB22D47}">
  <sheetPr codeName="Sheet26">
    <tabColor rgb="FFFF0000"/>
  </sheetPr>
  <dimension ref="A2:D24"/>
  <sheetViews>
    <sheetView showGridLines="0" zoomScale="105" zoomScaleNormal="105" workbookViewId="0">
      <selection activeCell="B7" sqref="B7"/>
    </sheetView>
  </sheetViews>
  <sheetFormatPr defaultRowHeight="15" x14ac:dyDescent="0.25"/>
  <cols>
    <col min="1" max="1" width="32.28515625" bestFit="1" customWidth="1"/>
    <col min="2" max="2" width="13.140625" customWidth="1"/>
    <col min="3" max="4" width="11.85546875" customWidth="1"/>
  </cols>
  <sheetData>
    <row r="2" spans="1:4" x14ac:dyDescent="0.25">
      <c r="A2" s="110"/>
      <c r="B2" s="110" t="str">
        <f>PR!D3</f>
        <v>Earnings</v>
      </c>
      <c r="C2" s="110" t="s">
        <v>99</v>
      </c>
      <c r="D2" s="110" t="s">
        <v>100</v>
      </c>
    </row>
    <row r="3" spans="1:4" x14ac:dyDescent="0.25">
      <c r="A3" s="111" t="str">
        <f>PR!A4</f>
        <v>Operator</v>
      </c>
      <c r="B3" s="111" t="str">
        <f>PR!D4</f>
        <v>Trips</v>
      </c>
      <c r="C3" s="111" t="s">
        <v>26</v>
      </c>
      <c r="D3" s="111" t="s">
        <v>101</v>
      </c>
    </row>
    <row r="5" spans="1:4" x14ac:dyDescent="0.25">
      <c r="A5" s="112" t="str">
        <f>IF(PR!A6=0,"",PR!A6)</f>
        <v>PAUL KENNEDY</v>
      </c>
      <c r="B5" s="113">
        <f>IF(PR!D6=0,"",PR!D6)</f>
        <v>1655.5</v>
      </c>
      <c r="C5" s="114">
        <f>IF(SUMIF(TrapezeReport!I:I,A5,TrapezeReport!C:C)=0,"",SUMIF(TrapezeReport!I:I,A5,TrapezeReport!C:C))</f>
        <v>77</v>
      </c>
      <c r="D5" s="115">
        <f t="shared" ref="D5" si="0">IFERROR(B5/C5,"")</f>
        <v>21.5</v>
      </c>
    </row>
    <row r="6" spans="1:4" x14ac:dyDescent="0.25">
      <c r="A6" s="116" t="str">
        <f>IF(PR!A7=0,"",PR!A7)</f>
        <v>FLASH LOGISTICS LLC</v>
      </c>
      <c r="B6" s="117">
        <f>IF(PR!D7=0,"",PR!D7)</f>
        <v>2795</v>
      </c>
      <c r="C6" s="118">
        <f>IF(SUMIF(TrapezeReport!I:I,A6,TrapezeReport!C:C)=0,"",SUMIF(TrapezeReport!I:I,A6,TrapezeReport!C:C))</f>
        <v>130</v>
      </c>
      <c r="D6" s="119">
        <f t="shared" ref="D6" si="1">IFERROR(B6/C6,"")</f>
        <v>21.5</v>
      </c>
    </row>
    <row r="7" spans="1:4" x14ac:dyDescent="0.25">
      <c r="A7" s="116" t="str">
        <f>IF(PR!A8=0,"",PR!A8)</f>
        <v>MVO TRANSPORTATION</v>
      </c>
      <c r="B7" s="187">
        <f>IF(PR!D8=0,"",PR!D8)</f>
        <v>2193</v>
      </c>
      <c r="C7" s="188">
        <f>IF(SUMIF(TrapezeReport!I:I,A7,TrapezeReport!C:C)=0,"",SUMIF(TrapezeReport!I:I,A7,TrapezeReport!C:C))</f>
        <v>102</v>
      </c>
      <c r="D7" s="189">
        <f t="shared" ref="D7" si="2">IFERROR(B7/C7,"")</f>
        <v>21.5</v>
      </c>
    </row>
    <row r="8" spans="1:4" x14ac:dyDescent="0.25">
      <c r="A8" s="116" t="str">
        <f>IF(PR!A9=0,"",PR!A9)</f>
        <v>JUST EASY ACCESS RIDE LLC</v>
      </c>
      <c r="B8" s="117">
        <f>IF(PR!D9=0,"",PR!D9)</f>
        <v>2838</v>
      </c>
      <c r="C8" s="118">
        <f>IF(SUMIF(TrapezeReport!I:I,A8,TrapezeReport!C:C)=0,"",SUMIF(TrapezeReport!I:I,A8,TrapezeReport!C:C))</f>
        <v>132</v>
      </c>
      <c r="D8" s="119">
        <f t="shared" ref="D8:D22" si="3">IFERROR(B8/C8,"")</f>
        <v>21.5</v>
      </c>
    </row>
    <row r="9" spans="1:4" x14ac:dyDescent="0.25">
      <c r="A9" s="116" t="str">
        <f>IF(PR!A10=0,"",PR!A10)</f>
        <v>ARISESIZ LLC</v>
      </c>
      <c r="B9" s="117">
        <f>IF(PR!D10=0,"",PR!D10)</f>
        <v>3633.5</v>
      </c>
      <c r="C9" s="118">
        <f>IF(SUMIF(TrapezeReport!I:I,A9,TrapezeReport!C:C)=0,"",SUMIF(TrapezeReport!I:I,A9,TrapezeReport!C:C))</f>
        <v>169</v>
      </c>
      <c r="D9" s="119">
        <f t="shared" si="3"/>
        <v>21.5</v>
      </c>
    </row>
    <row r="10" spans="1:4" x14ac:dyDescent="0.25">
      <c r="A10" s="116" t="str">
        <f>IF(PR!A11=0,"",PR!A11)</f>
        <v>MTIGER TRANSPORTATION</v>
      </c>
      <c r="B10" s="187">
        <f>IF(PR!D11=0,"",PR!D11)</f>
        <v>2945.5</v>
      </c>
      <c r="C10" s="188">
        <f>IF(SUMIF(TrapezeReport!I:I,A10,TrapezeReport!C:C)=0,"",SUMIF(TrapezeReport!I:I,A10,TrapezeReport!C:C))</f>
        <v>137</v>
      </c>
      <c r="D10" s="189">
        <f t="shared" si="3"/>
        <v>21.5</v>
      </c>
    </row>
    <row r="11" spans="1:4" x14ac:dyDescent="0.25">
      <c r="A11" s="116" t="str">
        <f>IF(PR!A12=0,"",PR!A12)</f>
        <v>VAMONOS TRANSPORTATION LLC</v>
      </c>
      <c r="B11" s="117">
        <f>IF(PR!D12=0,"",PR!D12)</f>
        <v>2945.5</v>
      </c>
      <c r="C11" s="118">
        <f>IF(SUMIF(TrapezeReport!I:I,A11,TrapezeReport!C:C)=0,"",SUMIF(TrapezeReport!I:I,A11,TrapezeReport!C:C))</f>
        <v>137</v>
      </c>
      <c r="D11" s="119">
        <f t="shared" si="3"/>
        <v>21.5</v>
      </c>
    </row>
    <row r="12" spans="1:4" x14ac:dyDescent="0.25">
      <c r="A12" s="116" t="str">
        <f>IF(PR!A13=0,"",PR!A13)</f>
        <v>ANGELES TRANSPORTATION, LLC</v>
      </c>
      <c r="B12" s="117">
        <f>IF(PR!D13=0,"",PR!D13)</f>
        <v>2580</v>
      </c>
      <c r="C12" s="118">
        <f>IF(SUMIF(TrapezeReport!I:I,A12,TrapezeReport!C:C)=0,"",SUMIF(TrapezeReport!I:I,A12,TrapezeReport!C:C))</f>
        <v>120</v>
      </c>
      <c r="D12" s="119">
        <f t="shared" si="3"/>
        <v>21.5</v>
      </c>
    </row>
    <row r="13" spans="1:4" x14ac:dyDescent="0.25">
      <c r="A13" s="116" t="str">
        <f>IF(PR!A14=0,"",PR!A14)</f>
        <v>SANVIN VOYAGE LLC</v>
      </c>
      <c r="B13" s="117">
        <f>IF(PR!D14=0,"",PR!D14)</f>
        <v>2644.5</v>
      </c>
      <c r="C13" s="118">
        <f>IF(SUMIF(TrapezeReport!I:I,A13,TrapezeReport!C:C)=0,"",SUMIF(TrapezeReport!I:I,A13,TrapezeReport!C:C))</f>
        <v>123</v>
      </c>
      <c r="D13" s="119">
        <f t="shared" si="3"/>
        <v>21.5</v>
      </c>
    </row>
    <row r="14" spans="1:4" x14ac:dyDescent="0.25">
      <c r="A14" s="116" t="str">
        <f>IF(PR!A15=0,"",PR!A15)</f>
        <v>EDIS OSMANOVIC</v>
      </c>
      <c r="B14" s="117">
        <f>IF(PR!D15=0,"",PR!D15)</f>
        <v>2752</v>
      </c>
      <c r="C14" s="118">
        <f>IF(SUMIF(TrapezeReport!I:I,A14,TrapezeReport!C:C)=0,"",SUMIF(TrapezeReport!I:I,A14,TrapezeReport!C:C))</f>
        <v>128</v>
      </c>
      <c r="D14" s="119">
        <f t="shared" si="3"/>
        <v>21.5</v>
      </c>
    </row>
    <row r="15" spans="1:4" x14ac:dyDescent="0.25">
      <c r="A15" s="116" t="str">
        <f>IF(PR!A16=0,"",PR!A16)</f>
        <v/>
      </c>
      <c r="B15" s="187" t="str">
        <f>IF(PR!D16=0,"",PR!D16)</f>
        <v/>
      </c>
      <c r="C15" s="188" t="str">
        <f>IF(SUMIF(TrapezeReport!I:I,A15,TrapezeReport!C:C)=0,"",SUMIF(TrapezeReport!I:I,A15,TrapezeReport!C:C))</f>
        <v/>
      </c>
      <c r="D15" s="189" t="str">
        <f t="shared" ref="D15" si="4">IFERROR(B15/C15,"")</f>
        <v/>
      </c>
    </row>
    <row r="16" spans="1:4" x14ac:dyDescent="0.25">
      <c r="A16" s="116" t="str">
        <f>IF(PR!A17=0,"",PR!A17)</f>
        <v/>
      </c>
      <c r="B16" s="187" t="str">
        <f>IF(PR!D17=0,"",PR!D17)</f>
        <v/>
      </c>
      <c r="C16" s="188" t="str">
        <f>IF(SUMIF(TrapezeReport!I:I,A16,TrapezeReport!C:C)=0,"",SUMIF(TrapezeReport!I:I,A16,TrapezeReport!C:C))</f>
        <v/>
      </c>
      <c r="D16" s="189" t="str">
        <f t="shared" ref="D16:D19" si="5">IFERROR(B16/C16,"")</f>
        <v/>
      </c>
    </row>
    <row r="17" spans="1:4" x14ac:dyDescent="0.25">
      <c r="A17" s="116" t="str">
        <f>IF(PR!A18=0,"",PR!A18)</f>
        <v/>
      </c>
      <c r="B17" s="117" t="str">
        <f>IF(PR!D18=0,"",PR!D18)</f>
        <v/>
      </c>
      <c r="C17" s="118" t="str">
        <f>IF(SUMIF(TrapezeReport!I:I,A17,TrapezeReport!C:C)=0,"",SUMIF(TrapezeReport!I:I,A17,TrapezeReport!C:C))</f>
        <v/>
      </c>
      <c r="D17" s="119" t="str">
        <f t="shared" si="5"/>
        <v/>
      </c>
    </row>
    <row r="18" spans="1:4" x14ac:dyDescent="0.25">
      <c r="A18" s="116" t="str">
        <f>IF(PR!A19=0,"",PR!A19)</f>
        <v/>
      </c>
      <c r="B18" s="117" t="str">
        <f>IF(PR!D19=0,"",PR!D19)</f>
        <v/>
      </c>
      <c r="C18" s="118" t="str">
        <f>IF(SUMIF(TrapezeReport!I:I,A18,TrapezeReport!C:C)=0,"",SUMIF(TrapezeReport!I:I,A18,TrapezeReport!C:C))</f>
        <v/>
      </c>
      <c r="D18" s="119" t="str">
        <f t="shared" si="5"/>
        <v/>
      </c>
    </row>
    <row r="19" spans="1:4" x14ac:dyDescent="0.25">
      <c r="A19" s="116" t="str">
        <f>IF(PR!A20=0,"",PR!A20)</f>
        <v/>
      </c>
      <c r="B19" s="117" t="str">
        <f>IF(PR!D20=0,"",PR!D20)</f>
        <v/>
      </c>
      <c r="C19" s="118" t="str">
        <f>IF(SUMIF(TrapezeReport!I:I,A19,TrapezeReport!C:C)=0,"",SUMIF(TrapezeReport!I:I,A19,TrapezeReport!C:C))</f>
        <v/>
      </c>
      <c r="D19" s="119" t="str">
        <f t="shared" si="5"/>
        <v/>
      </c>
    </row>
    <row r="20" spans="1:4" x14ac:dyDescent="0.25">
      <c r="A20" s="120"/>
      <c r="B20" s="121"/>
      <c r="C20" s="121" t="str">
        <f>IF(SUMIF(TrapezeReport!I:I,A20,TrapezeReport!C:C)=0,"",SUMIF(TrapezeReport!I:I,A20,TrapezeReport!C:C))</f>
        <v/>
      </c>
      <c r="D20" s="121" t="str">
        <f t="shared" si="3"/>
        <v/>
      </c>
    </row>
    <row r="21" spans="1:4" x14ac:dyDescent="0.25">
      <c r="A21" s="69"/>
    </row>
    <row r="22" spans="1:4" x14ac:dyDescent="0.25">
      <c r="A22" s="122" t="s">
        <v>72</v>
      </c>
      <c r="B22" s="123">
        <f>SUM(B5:B21)</f>
        <v>26982.5</v>
      </c>
      <c r="C22" s="125">
        <f>SUM(C5:C21)</f>
        <v>1255</v>
      </c>
      <c r="D22" s="124">
        <f t="shared" si="3"/>
        <v>21.5</v>
      </c>
    </row>
    <row r="24" spans="1:4" x14ac:dyDescent="0.25">
      <c r="B24" s="126">
        <f>B22-PR!D23</f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E4A44-608D-44ED-9D21-8F8508D271FF}">
  <sheetPr codeName="Sheet29"/>
  <dimension ref="A1:G8"/>
  <sheetViews>
    <sheetView workbookViewId="0">
      <selection activeCell="A6" sqref="A6"/>
    </sheetView>
  </sheetViews>
  <sheetFormatPr defaultRowHeight="15" x14ac:dyDescent="0.25"/>
  <cols>
    <col min="1" max="1" width="22.7109375" bestFit="1" customWidth="1"/>
    <col min="2" max="2" width="20" bestFit="1" customWidth="1"/>
    <col min="3" max="3" width="14" bestFit="1" customWidth="1"/>
    <col min="4" max="4" width="15.140625" bestFit="1" customWidth="1"/>
    <col min="5" max="5" width="27.85546875" bestFit="1" customWidth="1"/>
    <col min="6" max="6" width="8.140625" bestFit="1" customWidth="1"/>
    <col min="7" max="7" width="20.28515625" bestFit="1" customWidth="1"/>
  </cols>
  <sheetData>
    <row r="1" spans="1:7" x14ac:dyDescent="0.25">
      <c r="A1" t="s">
        <v>102</v>
      </c>
      <c r="B1" t="s">
        <v>103</v>
      </c>
      <c r="C1" t="s">
        <v>104</v>
      </c>
      <c r="D1" t="s">
        <v>105</v>
      </c>
      <c r="E1" t="s">
        <v>106</v>
      </c>
      <c r="F1" t="s">
        <v>107</v>
      </c>
      <c r="G1" t="s">
        <v>108</v>
      </c>
    </row>
    <row r="2" spans="1:7" x14ac:dyDescent="0.25">
      <c r="A2" t="s">
        <v>109</v>
      </c>
      <c r="B2" t="s">
        <v>109</v>
      </c>
      <c r="C2" t="s">
        <v>110</v>
      </c>
      <c r="E2" t="s">
        <v>111</v>
      </c>
      <c r="F2">
        <v>1011</v>
      </c>
      <c r="G2" t="s">
        <v>110</v>
      </c>
    </row>
    <row r="3" spans="1:7" x14ac:dyDescent="0.25">
      <c r="A3" t="s">
        <v>112</v>
      </c>
      <c r="B3" t="s">
        <v>113</v>
      </c>
      <c r="C3" t="s">
        <v>110</v>
      </c>
      <c r="E3" t="s">
        <v>114</v>
      </c>
      <c r="F3">
        <v>1083</v>
      </c>
      <c r="G3" t="s">
        <v>110</v>
      </c>
    </row>
    <row r="4" spans="1:7" x14ac:dyDescent="0.25">
      <c r="A4" t="s">
        <v>115</v>
      </c>
      <c r="B4" t="s">
        <v>116</v>
      </c>
      <c r="C4" t="s">
        <v>110</v>
      </c>
      <c r="E4" t="s">
        <v>117</v>
      </c>
      <c r="F4">
        <v>12073</v>
      </c>
      <c r="G4" t="s">
        <v>110</v>
      </c>
    </row>
    <row r="5" spans="1:7" x14ac:dyDescent="0.25">
      <c r="A5" t="s">
        <v>51</v>
      </c>
      <c r="B5" t="s">
        <v>51</v>
      </c>
      <c r="C5" t="s">
        <v>110</v>
      </c>
      <c r="E5" t="s">
        <v>118</v>
      </c>
      <c r="F5">
        <v>1015</v>
      </c>
      <c r="G5" t="s">
        <v>110</v>
      </c>
    </row>
    <row r="6" spans="1:7" x14ac:dyDescent="0.25">
      <c r="A6" t="s">
        <v>112</v>
      </c>
      <c r="B6" t="s">
        <v>119</v>
      </c>
      <c r="C6" t="s">
        <v>110</v>
      </c>
      <c r="E6" t="s">
        <v>114</v>
      </c>
      <c r="F6">
        <v>1083</v>
      </c>
      <c r="G6" t="s">
        <v>110</v>
      </c>
    </row>
    <row r="7" spans="1:7" x14ac:dyDescent="0.25">
      <c r="A7" t="s">
        <v>120</v>
      </c>
      <c r="B7" t="s">
        <v>120</v>
      </c>
      <c r="C7" t="s">
        <v>110</v>
      </c>
      <c r="E7" t="s">
        <v>121</v>
      </c>
      <c r="F7">
        <v>1014</v>
      </c>
      <c r="G7" t="s">
        <v>110</v>
      </c>
    </row>
    <row r="8" spans="1:7" x14ac:dyDescent="0.25">
      <c r="A8" t="s">
        <v>221</v>
      </c>
      <c r="B8" t="s">
        <v>356</v>
      </c>
      <c r="C8" t="s">
        <v>110</v>
      </c>
      <c r="E8" t="s">
        <v>244</v>
      </c>
      <c r="F8">
        <v>1074</v>
      </c>
      <c r="G8" t="s">
        <v>110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B6198-CB24-42EA-AC91-E1761EC7D062}">
  <sheetPr codeName="Sheet6"/>
  <dimension ref="A1:R2"/>
  <sheetViews>
    <sheetView workbookViewId="0">
      <selection activeCell="I19" sqref="I19"/>
    </sheetView>
  </sheetViews>
  <sheetFormatPr defaultRowHeight="15" x14ac:dyDescent="0.25"/>
  <cols>
    <col min="4" max="4" width="16.7109375" customWidth="1"/>
    <col min="5" max="5" width="17.28515625" bestFit="1" customWidth="1"/>
    <col min="7" max="7" width="13.85546875" bestFit="1" customWidth="1"/>
    <col min="8" max="8" width="12.140625" bestFit="1" customWidth="1"/>
    <col min="9" max="9" width="10.7109375" bestFit="1" customWidth="1"/>
    <col min="16" max="16" width="15.28515625" bestFit="1" customWidth="1"/>
  </cols>
  <sheetData>
    <row r="1" spans="1:18" x14ac:dyDescent="0.25">
      <c r="A1" t="str">
        <f ca="1">"$D$2:$R$"&amp;COUNTA(_xlfn.ANCHORARRAY(C2))+1</f>
        <v>$D$2:$R$2</v>
      </c>
      <c r="C1" t="s">
        <v>122</v>
      </c>
      <c r="D1" t="s">
        <v>123</v>
      </c>
      <c r="E1" t="s">
        <v>124</v>
      </c>
      <c r="F1" t="s">
        <v>125</v>
      </c>
      <c r="G1" t="s">
        <v>126</v>
      </c>
      <c r="H1" t="s">
        <v>127</v>
      </c>
      <c r="I1" t="s">
        <v>128</v>
      </c>
      <c r="J1" t="s">
        <v>129</v>
      </c>
      <c r="K1" t="s">
        <v>130</v>
      </c>
      <c r="L1" t="s">
        <v>28</v>
      </c>
      <c r="M1" t="s">
        <v>131</v>
      </c>
      <c r="N1" t="s">
        <v>132</v>
      </c>
      <c r="O1" t="s">
        <v>32</v>
      </c>
      <c r="P1" t="s">
        <v>77</v>
      </c>
      <c r="Q1" t="s">
        <v>33</v>
      </c>
      <c r="R1" t="s">
        <v>133</v>
      </c>
    </row>
    <row r="2" spans="1:18" x14ac:dyDescent="0.25">
      <c r="C2" t="e" cm="1" vm="1">
        <f t="array" aca="1" ref="C2" ca="1">_xlfn.VSTACK(ROW(INDEX(_xlfn.ANCHORARRAY(PR!A6),,1)),ROW(INDEX(_xlfn.ANCHORARRAY(PR!A36),,1)))</f>
        <v>#NAME?</v>
      </c>
      <c r="D2" t="e" cm="1" vm="2">
        <f t="array" aca="1" ref="D2" ca="1">IF(_xlfn.ANCHORARRAY(C2)&gt;0,PR!$A$1,"")</f>
        <v>#NAME?</v>
      </c>
      <c r="E2" t="e" cm="1" vm="2">
        <f t="array" aca="1" ref="E2" ca="1">IF(_xlfn.ANCHORARRAY(C2)&gt;0,TEXT('Pay Period'!$C$2,"M/D/YY")&amp;", "&amp;TEXT('Pay Period'!$C$3,"M/D/YY"),"")</f>
        <v>#NAME?</v>
      </c>
      <c r="F2" t="e" cm="1" vm="2">
        <f t="array" aca="1" ref="F2" ca="1">INDEX(PR!B:B,_xlfn.ANCHORARRAY($C2))</f>
        <v>#NAME?</v>
      </c>
      <c r="H2" t="e" cm="1" vm="2">
        <f t="array" aca="1" ref="H2" ca="1">INDEX(PR!D:D,_xlfn.ANCHORARRAY($C2))</f>
        <v>#NAME?</v>
      </c>
      <c r="J2" t="e" cm="1" vm="2">
        <f t="array" aca="1" ref="J2" ca="1">INDEX(PR!E:E,_xlfn.ANCHORARRAY($C2))</f>
        <v>#NAME?</v>
      </c>
      <c r="K2" t="e" cm="1" vm="2">
        <f t="array" aca="1" ref="K2" ca="1">INDEX(PR!G:G,_xlfn.ANCHORARRAY($C2))</f>
        <v>#NAME?</v>
      </c>
      <c r="L2" t="e" cm="1" vm="2">
        <f t="array" aca="1" ref="L2" ca="1">INDEX(PR!F:F,_xlfn.ANCHORARRAY($C2))</f>
        <v>#NAME?</v>
      </c>
      <c r="M2" t="e" cm="1" vm="2">
        <f t="array" aca="1" ref="M2" ca="1">INDEX(PR!H:H,_xlfn.ANCHORARRAY($C2))</f>
        <v>#NAME?</v>
      </c>
      <c r="N2" t="e" cm="1" vm="2">
        <f t="array" aca="1" ref="N2" ca="1">INDEX(PR!I:I,_xlfn.ANCHORARRAY($C2))</f>
        <v>#NAME?</v>
      </c>
      <c r="O2" t="e" cm="1" vm="2">
        <f t="array" aca="1" ref="O2" ca="1">INDEX(PR!J:J,_xlfn.ANCHORARRAY($C2))</f>
        <v>#NAME?</v>
      </c>
      <c r="P2" t="e" cm="1" vm="2">
        <f t="array" aca="1" ref="P2" ca="1">INDEX(PR!L:L,_xlfn.ANCHORARRAY($C2))+INDEX(PR!M:M,_xlfn.ANCHORARRAY($C2))</f>
        <v>#NAME?</v>
      </c>
      <c r="Q2" t="e" cm="1" vm="2">
        <f t="array" aca="1" ref="Q2" ca="1">INDEX(PR!K:K,_xlfn.ANCHORARRAY($C2))</f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3AE78-C92F-40DB-B9D6-4B15B19E6E2F}">
  <sheetPr codeName="Sheet36"/>
  <dimension ref="A1:R2"/>
  <sheetViews>
    <sheetView workbookViewId="0">
      <selection activeCell="I19" sqref="I19"/>
    </sheetView>
  </sheetViews>
  <sheetFormatPr defaultRowHeight="15" x14ac:dyDescent="0.25"/>
  <cols>
    <col min="4" max="4" width="16.7109375" customWidth="1"/>
    <col min="5" max="5" width="17.28515625" bestFit="1" customWidth="1"/>
    <col min="7" max="7" width="13.85546875" bestFit="1" customWidth="1"/>
    <col min="8" max="8" width="12.140625" bestFit="1" customWidth="1"/>
    <col min="9" max="9" width="10.7109375" bestFit="1" customWidth="1"/>
    <col min="16" max="16" width="15.28515625" bestFit="1" customWidth="1"/>
  </cols>
  <sheetData>
    <row r="1" spans="1:18" x14ac:dyDescent="0.25">
      <c r="A1" t="str">
        <f ca="1">"$D$2:$R$"&amp;COUNTA(_xlfn.ANCHORARRAY(C2))+1</f>
        <v>$D$2:$R$2</v>
      </c>
      <c r="C1" t="s">
        <v>122</v>
      </c>
      <c r="D1" t="s">
        <v>123</v>
      </c>
      <c r="E1" t="s">
        <v>124</v>
      </c>
      <c r="F1" t="s">
        <v>125</v>
      </c>
      <c r="G1" t="s">
        <v>126</v>
      </c>
      <c r="H1" t="s">
        <v>341</v>
      </c>
      <c r="I1" t="s">
        <v>342</v>
      </c>
      <c r="J1" t="s">
        <v>343</v>
      </c>
      <c r="K1" t="s">
        <v>344</v>
      </c>
      <c r="L1" t="s">
        <v>345</v>
      </c>
      <c r="M1" t="s">
        <v>131</v>
      </c>
      <c r="N1" t="s">
        <v>346</v>
      </c>
      <c r="O1" t="s">
        <v>347</v>
      </c>
      <c r="P1" t="s">
        <v>348</v>
      </c>
      <c r="Q1" t="s">
        <v>349</v>
      </c>
      <c r="R1" t="s">
        <v>350</v>
      </c>
    </row>
    <row r="2" spans="1:18" x14ac:dyDescent="0.25">
      <c r="C2" t="e" cm="1" vm="1">
        <f t="array" aca="1" ref="C2" ca="1">_xlfn.VSTACK(ROW(INDEX(_xlfn.ANCHORARRAY(PR!A6),,1)),ROW(INDEX(_xlfn.ANCHORARRAY(PR!A36),,1)))</f>
        <v>#NAME?</v>
      </c>
      <c r="D2" t="e" cm="1" vm="2">
        <f t="array" aca="1" ref="D2" ca="1">IF(_xlfn.ANCHORARRAY(C2)&gt;0,PR!$A$1,"")</f>
        <v>#NAME?</v>
      </c>
      <c r="E2" t="e" cm="1" vm="2">
        <f t="array" aca="1" ref="E2" ca="1">IF(_xlfn.ANCHORARRAY(C2)&gt;0,TEXT('Pay Period'!$C$2,"M/D/YY")&amp;", "&amp;TEXT('Pay Period'!$C$3,"M/D/YY"),"")</f>
        <v>#NAME?</v>
      </c>
      <c r="F2" t="e" cm="1" vm="2">
        <f t="array" aca="1" ref="F2" ca="1">INDEX(PR!B:B,_xlfn.ANCHORARRAY($C2))</f>
        <v>#NAME?</v>
      </c>
      <c r="H2" t="e" cm="1" vm="2">
        <f t="array" aca="1" ref="H2" ca="1">INDEX(PR!D:D,_xlfn.ANCHORARRAY($C2))</f>
        <v>#NAME?</v>
      </c>
      <c r="J2" t="e" cm="1" vm="2">
        <f t="array" aca="1" ref="J2" ca="1">INDEX(PR!E:E,_xlfn.ANCHORARRAY($C2))</f>
        <v>#NAME?</v>
      </c>
      <c r="K2" t="e" cm="1" vm="2">
        <f t="array" aca="1" ref="K2" ca="1">INDEX(PR!G:G,_xlfn.ANCHORARRAY($C2))</f>
        <v>#NAME?</v>
      </c>
      <c r="L2" t="e" cm="1" vm="2">
        <f t="array" aca="1" ref="L2" ca="1">INDEX(PR!F:F,_xlfn.ANCHORARRAY($C2))</f>
        <v>#NAME?</v>
      </c>
      <c r="M2" t="e" cm="1" vm="2">
        <f t="array" aca="1" ref="M2" ca="1">INDEX(PR!H:H,_xlfn.ANCHORARRAY($C2))</f>
        <v>#NAME?</v>
      </c>
      <c r="N2" t="e" cm="1" vm="2">
        <f t="array" aca="1" ref="N2" ca="1">INDEX(PR!I:I,_xlfn.ANCHORARRAY($C2))</f>
        <v>#NAME?</v>
      </c>
      <c r="O2" t="e" cm="1" vm="2">
        <f t="array" aca="1" ref="O2" ca="1">INDEX(PR!J:J,_xlfn.ANCHORARRAY($C2))</f>
        <v>#NAME?</v>
      </c>
      <c r="P2" t="e" cm="1" vm="2">
        <f t="array" aca="1" ref="P2" ca="1">INDEX(PR!L:L,_xlfn.ANCHORARRAY($C2))+INDEX(PR!M:M,_xlfn.ANCHORARRAY($C2))</f>
        <v>#NAME?</v>
      </c>
      <c r="Q2" t="e" cm="1" vm="2">
        <f t="array" aca="1" ref="Q2" ca="1">INDEX(PR!K:K,_xlfn.ANCHORARRAY($C2))</f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7F553-C65D-44C5-85FA-AB695FAFC5B2}">
  <dimension ref="A3:E12"/>
  <sheetViews>
    <sheetView showGridLines="0" workbookViewId="0">
      <selection activeCell="G20" sqref="G20"/>
    </sheetView>
  </sheetViews>
  <sheetFormatPr defaultRowHeight="15" x14ac:dyDescent="0.25"/>
  <cols>
    <col min="1" max="1" width="21.28515625" bestFit="1" customWidth="1"/>
    <col min="2" max="2" width="10" bestFit="1" customWidth="1"/>
    <col min="3" max="3" width="19.42578125" bestFit="1" customWidth="1"/>
    <col min="4" max="4" width="27.140625" bestFit="1" customWidth="1"/>
  </cols>
  <sheetData>
    <row r="3" spans="1:5" x14ac:dyDescent="0.25">
      <c r="A3" s="90" t="s">
        <v>102</v>
      </c>
      <c r="B3" s="90" t="s">
        <v>54</v>
      </c>
      <c r="C3" t="s">
        <v>351</v>
      </c>
      <c r="D3" t="s">
        <v>352</v>
      </c>
      <c r="E3" t="s">
        <v>374</v>
      </c>
    </row>
    <row r="4" spans="1:5" x14ac:dyDescent="0.25">
      <c r="A4" t="s">
        <v>115</v>
      </c>
      <c r="B4" t="s">
        <v>14</v>
      </c>
      <c r="C4">
        <v>48.349999999999994</v>
      </c>
      <c r="D4">
        <v>48</v>
      </c>
    </row>
    <row r="5" spans="1:5" x14ac:dyDescent="0.25">
      <c r="A5" t="s">
        <v>115</v>
      </c>
      <c r="B5" t="s">
        <v>15</v>
      </c>
      <c r="C5">
        <v>49.019999999999996</v>
      </c>
      <c r="D5">
        <v>48</v>
      </c>
      <c r="E5" s="191">
        <f t="shared" ref="E5:E9" si="0">C5-D5</f>
        <v>1.019999999999996</v>
      </c>
    </row>
    <row r="6" spans="1:5" x14ac:dyDescent="0.25">
      <c r="A6" t="s">
        <v>51</v>
      </c>
      <c r="B6" t="s">
        <v>14</v>
      </c>
      <c r="C6">
        <v>38.53</v>
      </c>
      <c r="D6">
        <v>36</v>
      </c>
      <c r="E6" s="191">
        <f t="shared" si="0"/>
        <v>2.5300000000000011</v>
      </c>
    </row>
    <row r="7" spans="1:5" x14ac:dyDescent="0.25">
      <c r="A7" t="s">
        <v>51</v>
      </c>
      <c r="B7" t="s">
        <v>15</v>
      </c>
      <c r="C7">
        <v>37.31</v>
      </c>
      <c r="D7">
        <v>36</v>
      </c>
      <c r="E7" s="191">
        <f t="shared" si="0"/>
        <v>1.3100000000000023</v>
      </c>
    </row>
    <row r="8" spans="1:5" x14ac:dyDescent="0.25">
      <c r="A8" t="s">
        <v>120</v>
      </c>
      <c r="B8" t="s">
        <v>14</v>
      </c>
      <c r="C8">
        <v>39.130000000000003</v>
      </c>
      <c r="D8">
        <v>36</v>
      </c>
      <c r="E8" s="191">
        <f t="shared" si="0"/>
        <v>3.1300000000000026</v>
      </c>
    </row>
    <row r="9" spans="1:5" x14ac:dyDescent="0.25">
      <c r="A9" t="s">
        <v>120</v>
      </c>
      <c r="B9" t="s">
        <v>15</v>
      </c>
      <c r="C9">
        <v>39</v>
      </c>
      <c r="D9">
        <v>36</v>
      </c>
      <c r="E9" s="191">
        <f t="shared" si="0"/>
        <v>3</v>
      </c>
    </row>
    <row r="10" spans="1:5" x14ac:dyDescent="0.25">
      <c r="A10" t="s">
        <v>109</v>
      </c>
      <c r="B10" t="s">
        <v>14</v>
      </c>
      <c r="C10">
        <v>48.48</v>
      </c>
      <c r="D10">
        <v>48</v>
      </c>
    </row>
    <row r="11" spans="1:5" x14ac:dyDescent="0.25">
      <c r="A11" t="s">
        <v>221</v>
      </c>
      <c r="B11" t="s">
        <v>15</v>
      </c>
      <c r="C11">
        <v>47.06</v>
      </c>
      <c r="D11">
        <v>47.06</v>
      </c>
    </row>
    <row r="12" spans="1:5" x14ac:dyDescent="0.25">
      <c r="A12" t="s">
        <v>262</v>
      </c>
      <c r="C12">
        <v>346.88</v>
      </c>
      <c r="D12">
        <v>335.06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E625A-F0FD-4B33-AF12-44DC66C634B6}">
  <sheetPr codeName="Sheet27"/>
  <dimension ref="A1:BI9"/>
  <sheetViews>
    <sheetView workbookViewId="0"/>
  </sheetViews>
  <sheetFormatPr defaultRowHeight="15" x14ac:dyDescent="0.25"/>
  <cols>
    <col min="1" max="1" width="10" bestFit="1" customWidth="1"/>
    <col min="2" max="2" width="18" bestFit="1" customWidth="1"/>
    <col min="3" max="3" width="14.85546875" bestFit="1" customWidth="1"/>
    <col min="4" max="4" width="22.5703125" bestFit="1" customWidth="1"/>
    <col min="5" max="5" width="24" bestFit="1" customWidth="1"/>
    <col min="6" max="6" width="16.85546875" bestFit="1" customWidth="1"/>
    <col min="7" max="9" width="15.42578125" bestFit="1" customWidth="1"/>
    <col min="10" max="10" width="18" bestFit="1" customWidth="1"/>
    <col min="11" max="11" width="18.85546875" bestFit="1" customWidth="1"/>
    <col min="12" max="13" width="22.42578125" bestFit="1" customWidth="1"/>
    <col min="14" max="14" width="14.140625" bestFit="1" customWidth="1"/>
    <col min="15" max="15" width="16.42578125" bestFit="1" customWidth="1"/>
    <col min="16" max="16" width="12.7109375" bestFit="1" customWidth="1"/>
    <col min="17" max="17" width="7.42578125" bestFit="1" customWidth="1"/>
    <col min="18" max="18" width="14" bestFit="1" customWidth="1"/>
    <col min="19" max="20" width="11.42578125" bestFit="1" customWidth="1"/>
    <col min="21" max="21" width="10" bestFit="1" customWidth="1"/>
    <col min="22" max="23" width="18.5703125" bestFit="1" customWidth="1"/>
    <col min="24" max="24" width="21.140625" bestFit="1" customWidth="1"/>
    <col min="25" max="25" width="22" bestFit="1" customWidth="1"/>
    <col min="26" max="26" width="22.7109375" bestFit="1" customWidth="1"/>
    <col min="27" max="27" width="22" bestFit="1" customWidth="1"/>
    <col min="28" max="28" width="9.7109375" bestFit="1" customWidth="1"/>
    <col min="29" max="29" width="22.7109375" bestFit="1" customWidth="1"/>
    <col min="30" max="31" width="18.140625" bestFit="1" customWidth="1"/>
    <col min="32" max="32" width="20" bestFit="1" customWidth="1"/>
    <col min="33" max="33" width="15.42578125" bestFit="1" customWidth="1"/>
    <col min="34" max="34" width="12.5703125" bestFit="1" customWidth="1"/>
    <col min="35" max="35" width="16.85546875" bestFit="1" customWidth="1"/>
    <col min="36" max="36" width="16" bestFit="1" customWidth="1"/>
    <col min="37" max="37" width="13.7109375" bestFit="1" customWidth="1"/>
    <col min="38" max="38" width="24.7109375" bestFit="1" customWidth="1"/>
    <col min="39" max="39" width="20.7109375" bestFit="1" customWidth="1"/>
    <col min="40" max="40" width="16.7109375" bestFit="1" customWidth="1"/>
    <col min="41" max="41" width="15" bestFit="1" customWidth="1"/>
    <col min="42" max="42" width="14.5703125" bestFit="1" customWidth="1"/>
    <col min="43" max="43" width="14.85546875" bestFit="1" customWidth="1"/>
    <col min="44" max="44" width="11.7109375" bestFit="1" customWidth="1"/>
    <col min="45" max="46" width="19.85546875" bestFit="1" customWidth="1"/>
    <col min="47" max="47" width="18.7109375" bestFit="1" customWidth="1"/>
    <col min="48" max="48" width="7.28515625" bestFit="1" customWidth="1"/>
    <col min="49" max="49" width="13.140625" bestFit="1" customWidth="1"/>
    <col min="50" max="50" width="11.85546875" bestFit="1" customWidth="1"/>
    <col min="51" max="53" width="11.5703125" bestFit="1" customWidth="1"/>
    <col min="54" max="56" width="16.140625" bestFit="1" customWidth="1"/>
    <col min="57" max="57" width="26.140625" bestFit="1" customWidth="1"/>
    <col min="58" max="58" width="15.5703125" bestFit="1" customWidth="1"/>
    <col min="59" max="59" width="14.28515625" bestFit="1" customWidth="1"/>
    <col min="60" max="60" width="17.42578125" bestFit="1" customWidth="1"/>
    <col min="61" max="61" width="24.85546875" bestFit="1" customWidth="1"/>
  </cols>
  <sheetData>
    <row r="1" spans="1:61" x14ac:dyDescent="0.25">
      <c r="A1" t="s">
        <v>54</v>
      </c>
      <c r="B1" t="s">
        <v>55</v>
      </c>
      <c r="C1" t="s">
        <v>56</v>
      </c>
      <c r="D1" t="s">
        <v>57</v>
      </c>
      <c r="E1" t="s">
        <v>134</v>
      </c>
      <c r="F1" t="s">
        <v>59</v>
      </c>
      <c r="G1" t="s">
        <v>135</v>
      </c>
      <c r="H1" t="s">
        <v>136</v>
      </c>
      <c r="I1" t="s">
        <v>137</v>
      </c>
      <c r="J1" t="s">
        <v>63</v>
      </c>
      <c r="K1" t="s">
        <v>64</v>
      </c>
      <c r="L1" t="s">
        <v>138</v>
      </c>
      <c r="M1" t="s">
        <v>139</v>
      </c>
      <c r="N1" t="s">
        <v>65</v>
      </c>
      <c r="O1" t="s">
        <v>66</v>
      </c>
      <c r="P1" t="s">
        <v>67</v>
      </c>
      <c r="Q1" t="s">
        <v>68</v>
      </c>
      <c r="R1" t="s">
        <v>140</v>
      </c>
      <c r="S1" t="s">
        <v>70</v>
      </c>
      <c r="T1" t="s">
        <v>141</v>
      </c>
      <c r="U1" t="s">
        <v>142</v>
      </c>
      <c r="V1" t="s">
        <v>143</v>
      </c>
      <c r="W1" t="s">
        <v>144</v>
      </c>
      <c r="X1" t="s">
        <v>145</v>
      </c>
      <c r="Y1" t="s">
        <v>146</v>
      </c>
      <c r="Z1" t="s">
        <v>147</v>
      </c>
      <c r="AA1" t="s">
        <v>148</v>
      </c>
      <c r="AB1" t="s">
        <v>39</v>
      </c>
      <c r="AC1" t="s">
        <v>102</v>
      </c>
      <c r="AD1" t="s">
        <v>149</v>
      </c>
      <c r="AE1" t="s">
        <v>94</v>
      </c>
      <c r="AF1" t="s">
        <v>95</v>
      </c>
      <c r="AG1" t="s">
        <v>96</v>
      </c>
      <c r="AH1" t="s">
        <v>150</v>
      </c>
      <c r="AI1" t="s">
        <v>151</v>
      </c>
      <c r="AJ1" t="s">
        <v>152</v>
      </c>
      <c r="AK1" t="s">
        <v>153</v>
      </c>
      <c r="AL1" t="s">
        <v>154</v>
      </c>
      <c r="AM1" t="s">
        <v>155</v>
      </c>
      <c r="AN1" t="s">
        <v>156</v>
      </c>
      <c r="AO1" t="s">
        <v>157</v>
      </c>
      <c r="AP1" t="s">
        <v>158</v>
      </c>
      <c r="AQ1" t="s">
        <v>159</v>
      </c>
      <c r="AR1" t="s">
        <v>160</v>
      </c>
      <c r="AS1" t="s">
        <v>18</v>
      </c>
      <c r="AT1" t="s">
        <v>19</v>
      </c>
      <c r="AU1" t="s">
        <v>17</v>
      </c>
      <c r="AV1" t="s">
        <v>161</v>
      </c>
      <c r="AW1" t="s">
        <v>162</v>
      </c>
      <c r="AX1" t="s">
        <v>163</v>
      </c>
      <c r="AY1" t="s">
        <v>164</v>
      </c>
      <c r="AZ1" t="s">
        <v>165</v>
      </c>
      <c r="BA1" t="s">
        <v>166</v>
      </c>
      <c r="BB1" t="s">
        <v>167</v>
      </c>
      <c r="BC1" t="s">
        <v>168</v>
      </c>
      <c r="BD1" t="s">
        <v>169</v>
      </c>
      <c r="BE1" t="s">
        <v>170</v>
      </c>
      <c r="BF1" t="s">
        <v>171</v>
      </c>
      <c r="BG1" t="s">
        <v>172</v>
      </c>
      <c r="BH1" t="s">
        <v>173</v>
      </c>
      <c r="BI1" t="s">
        <v>174</v>
      </c>
    </row>
    <row r="2" spans="1:61" x14ac:dyDescent="0.25">
      <c r="A2" t="s">
        <v>14</v>
      </c>
      <c r="B2">
        <v>36</v>
      </c>
      <c r="C2">
        <v>39.130000000000003</v>
      </c>
      <c r="D2">
        <v>36</v>
      </c>
      <c r="E2">
        <v>1</v>
      </c>
      <c r="F2">
        <v>760.5</v>
      </c>
      <c r="G2">
        <v>234</v>
      </c>
      <c r="H2">
        <v>0</v>
      </c>
      <c r="I2">
        <v>0</v>
      </c>
      <c r="J2">
        <v>1</v>
      </c>
      <c r="K2">
        <v>0</v>
      </c>
      <c r="L2">
        <v>117</v>
      </c>
      <c r="M2">
        <v>0</v>
      </c>
      <c r="N2">
        <v>9.2767697418860207E-2</v>
      </c>
      <c r="O2">
        <v>0</v>
      </c>
      <c r="P2">
        <v>6</v>
      </c>
      <c r="Q2">
        <v>0</v>
      </c>
      <c r="R2">
        <v>0</v>
      </c>
      <c r="S2">
        <v>1117.5</v>
      </c>
      <c r="T2">
        <v>36</v>
      </c>
      <c r="U2">
        <v>234</v>
      </c>
      <c r="V2">
        <v>36</v>
      </c>
      <c r="W2">
        <v>0</v>
      </c>
      <c r="X2">
        <v>0</v>
      </c>
      <c r="Y2">
        <v>117</v>
      </c>
      <c r="Z2">
        <v>0</v>
      </c>
      <c r="AA2">
        <v>0</v>
      </c>
      <c r="AB2" s="64">
        <v>45628</v>
      </c>
      <c r="AC2" t="s">
        <v>120</v>
      </c>
      <c r="AD2">
        <v>0</v>
      </c>
      <c r="AE2">
        <v>5</v>
      </c>
      <c r="AF2">
        <v>39.5</v>
      </c>
      <c r="AG2">
        <v>0.37</v>
      </c>
      <c r="AH2">
        <v>5</v>
      </c>
      <c r="AI2">
        <v>0</v>
      </c>
      <c r="AJ2">
        <v>3.63</v>
      </c>
      <c r="AK2">
        <v>35.5</v>
      </c>
      <c r="AL2">
        <v>11.67</v>
      </c>
      <c r="AM2">
        <v>0.03</v>
      </c>
      <c r="AN2">
        <v>0.13</v>
      </c>
      <c r="AO2">
        <v>9</v>
      </c>
      <c r="AP2">
        <v>0</v>
      </c>
      <c r="AQ2">
        <v>0</v>
      </c>
      <c r="AR2">
        <v>39.130000000000003</v>
      </c>
      <c r="AS2">
        <v>0.1</v>
      </c>
      <c r="AT2">
        <v>0.05</v>
      </c>
      <c r="AU2">
        <v>0.7</v>
      </c>
      <c r="AV2">
        <v>32.5</v>
      </c>
      <c r="AW2">
        <v>0</v>
      </c>
      <c r="AX2">
        <v>0.65</v>
      </c>
      <c r="AY2">
        <v>0.98</v>
      </c>
      <c r="AZ2">
        <v>0.96</v>
      </c>
      <c r="BA2">
        <v>0.9</v>
      </c>
      <c r="BB2">
        <v>0.2</v>
      </c>
      <c r="BC2">
        <v>0.1</v>
      </c>
      <c r="BD2">
        <v>0.05</v>
      </c>
      <c r="BE2">
        <v>0.05</v>
      </c>
      <c r="BF2">
        <v>36</v>
      </c>
      <c r="BG2">
        <v>0</v>
      </c>
      <c r="BH2">
        <v>0</v>
      </c>
      <c r="BI2">
        <v>59.03</v>
      </c>
    </row>
    <row r="3" spans="1:61" x14ac:dyDescent="0.25">
      <c r="A3" t="s">
        <v>14</v>
      </c>
      <c r="B3">
        <v>48</v>
      </c>
      <c r="C3">
        <v>48.349999999999994</v>
      </c>
      <c r="D3">
        <v>48</v>
      </c>
      <c r="E3">
        <v>1</v>
      </c>
      <c r="F3">
        <v>1014</v>
      </c>
      <c r="G3">
        <v>312</v>
      </c>
      <c r="H3">
        <v>0</v>
      </c>
      <c r="I3">
        <v>0</v>
      </c>
      <c r="J3">
        <v>1</v>
      </c>
      <c r="K3">
        <v>0</v>
      </c>
      <c r="L3">
        <v>156</v>
      </c>
      <c r="M3">
        <v>0</v>
      </c>
      <c r="N3">
        <v>0.119751809720786</v>
      </c>
      <c r="O3">
        <v>0</v>
      </c>
      <c r="P3">
        <v>22.42</v>
      </c>
      <c r="Q3">
        <v>0</v>
      </c>
      <c r="R3">
        <v>0</v>
      </c>
      <c r="S3">
        <v>1504.42</v>
      </c>
      <c r="T3">
        <v>48</v>
      </c>
      <c r="U3">
        <v>312</v>
      </c>
      <c r="V3">
        <v>48</v>
      </c>
      <c r="W3">
        <v>0</v>
      </c>
      <c r="X3">
        <v>0</v>
      </c>
      <c r="Y3">
        <v>156</v>
      </c>
      <c r="Z3">
        <v>0</v>
      </c>
      <c r="AA3">
        <v>0</v>
      </c>
      <c r="AB3" s="64">
        <v>45628</v>
      </c>
      <c r="AC3" t="s">
        <v>115</v>
      </c>
      <c r="AD3">
        <v>0</v>
      </c>
      <c r="AE3">
        <v>9</v>
      </c>
      <c r="AF3">
        <v>48.55</v>
      </c>
      <c r="AG3">
        <v>0.2</v>
      </c>
      <c r="AH3">
        <v>9</v>
      </c>
      <c r="AI3">
        <v>0</v>
      </c>
      <c r="AJ3">
        <v>5.79</v>
      </c>
      <c r="AK3">
        <v>42.56</v>
      </c>
      <c r="AL3">
        <v>3.45</v>
      </c>
      <c r="AM3">
        <v>1.1599999999999999</v>
      </c>
      <c r="AN3">
        <v>0.19</v>
      </c>
      <c r="AO3">
        <v>9</v>
      </c>
      <c r="AP3">
        <v>0</v>
      </c>
      <c r="AQ3">
        <v>0</v>
      </c>
      <c r="AR3">
        <v>48.349999999999994</v>
      </c>
      <c r="AS3">
        <v>0.1</v>
      </c>
      <c r="AT3">
        <v>0.05</v>
      </c>
      <c r="AU3">
        <v>0.7</v>
      </c>
      <c r="AV3">
        <v>32.5</v>
      </c>
      <c r="AW3">
        <v>0</v>
      </c>
      <c r="AX3">
        <v>0.65</v>
      </c>
      <c r="AY3">
        <v>0.98</v>
      </c>
      <c r="AZ3">
        <v>0.96</v>
      </c>
      <c r="BA3">
        <v>0.9</v>
      </c>
      <c r="BB3">
        <v>0.2</v>
      </c>
      <c r="BC3">
        <v>0.1</v>
      </c>
      <c r="BD3">
        <v>0.05</v>
      </c>
      <c r="BE3">
        <v>0.05</v>
      </c>
      <c r="BF3">
        <v>48</v>
      </c>
      <c r="BG3">
        <v>0</v>
      </c>
      <c r="BH3">
        <v>0</v>
      </c>
      <c r="BI3">
        <v>124.93</v>
      </c>
    </row>
    <row r="4" spans="1:61" x14ac:dyDescent="0.25">
      <c r="A4" t="s">
        <v>14</v>
      </c>
      <c r="B4">
        <v>48</v>
      </c>
      <c r="C4">
        <v>48.48</v>
      </c>
      <c r="D4">
        <v>48</v>
      </c>
      <c r="E4">
        <v>1</v>
      </c>
      <c r="F4">
        <v>1014</v>
      </c>
      <c r="G4">
        <v>312</v>
      </c>
      <c r="H4">
        <v>0</v>
      </c>
      <c r="I4">
        <v>0</v>
      </c>
      <c r="J4">
        <v>1</v>
      </c>
      <c r="K4">
        <v>9.0909090909090898E-2</v>
      </c>
      <c r="L4">
        <v>0</v>
      </c>
      <c r="M4">
        <v>0</v>
      </c>
      <c r="N4">
        <v>0.12273102310231</v>
      </c>
      <c r="O4">
        <v>0</v>
      </c>
      <c r="P4">
        <v>12</v>
      </c>
      <c r="Q4">
        <v>0</v>
      </c>
      <c r="R4">
        <v>0</v>
      </c>
      <c r="S4">
        <v>1338</v>
      </c>
      <c r="T4">
        <v>48</v>
      </c>
      <c r="U4">
        <v>312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 s="64">
        <v>45628</v>
      </c>
      <c r="AC4" t="s">
        <v>109</v>
      </c>
      <c r="AD4">
        <v>0</v>
      </c>
      <c r="AE4">
        <v>3</v>
      </c>
      <c r="AF4">
        <v>48.48</v>
      </c>
      <c r="AG4">
        <v>0</v>
      </c>
      <c r="AH4">
        <v>3</v>
      </c>
      <c r="AI4">
        <v>0</v>
      </c>
      <c r="AJ4">
        <v>5.95</v>
      </c>
      <c r="AK4">
        <v>42.53</v>
      </c>
      <c r="AL4">
        <v>40.74</v>
      </c>
      <c r="AM4">
        <v>5.95</v>
      </c>
      <c r="AN4">
        <v>0.06</v>
      </c>
      <c r="AO4">
        <v>11</v>
      </c>
      <c r="AP4">
        <v>0</v>
      </c>
      <c r="AQ4">
        <v>1</v>
      </c>
      <c r="AR4">
        <v>0</v>
      </c>
      <c r="AS4">
        <v>0.1</v>
      </c>
      <c r="AT4">
        <v>0.05</v>
      </c>
      <c r="AU4">
        <v>0.7</v>
      </c>
      <c r="AV4">
        <v>32.5</v>
      </c>
      <c r="AW4">
        <v>0</v>
      </c>
      <c r="AX4">
        <v>0.65</v>
      </c>
      <c r="AY4">
        <v>0.98</v>
      </c>
      <c r="AZ4">
        <v>0.96</v>
      </c>
      <c r="BA4">
        <v>0.9</v>
      </c>
      <c r="BB4">
        <v>0.2</v>
      </c>
      <c r="BC4">
        <v>0.1</v>
      </c>
      <c r="BD4">
        <v>0.05</v>
      </c>
      <c r="BE4">
        <v>0.05</v>
      </c>
      <c r="BF4">
        <v>48</v>
      </c>
      <c r="BG4">
        <v>0</v>
      </c>
      <c r="BH4">
        <v>48</v>
      </c>
      <c r="BI4">
        <v>42.22</v>
      </c>
    </row>
    <row r="5" spans="1:61" x14ac:dyDescent="0.25">
      <c r="A5" t="s">
        <v>14</v>
      </c>
      <c r="B5">
        <v>36</v>
      </c>
      <c r="C5">
        <v>38.53</v>
      </c>
      <c r="D5">
        <v>36</v>
      </c>
      <c r="E5">
        <v>1</v>
      </c>
      <c r="F5">
        <v>760.5</v>
      </c>
      <c r="G5">
        <v>234</v>
      </c>
      <c r="H5">
        <v>0</v>
      </c>
      <c r="I5">
        <v>0</v>
      </c>
      <c r="J5">
        <v>0.94444444444444398</v>
      </c>
      <c r="K5">
        <v>0</v>
      </c>
      <c r="L5">
        <v>0</v>
      </c>
      <c r="M5">
        <v>58.5</v>
      </c>
      <c r="N5">
        <v>0.30080456786919302</v>
      </c>
      <c r="O5">
        <v>0</v>
      </c>
      <c r="P5">
        <v>28</v>
      </c>
      <c r="Q5">
        <v>0</v>
      </c>
      <c r="R5">
        <v>0</v>
      </c>
      <c r="S5">
        <v>1081</v>
      </c>
      <c r="T5">
        <v>36</v>
      </c>
      <c r="U5">
        <v>234</v>
      </c>
      <c r="V5">
        <v>0</v>
      </c>
      <c r="W5">
        <v>36</v>
      </c>
      <c r="X5">
        <v>0</v>
      </c>
      <c r="Y5">
        <v>58.5</v>
      </c>
      <c r="Z5">
        <v>0</v>
      </c>
      <c r="AA5">
        <v>0</v>
      </c>
      <c r="AB5" s="64">
        <v>45628</v>
      </c>
      <c r="AC5" t="s">
        <v>51</v>
      </c>
      <c r="AD5">
        <v>0</v>
      </c>
      <c r="AE5">
        <v>15</v>
      </c>
      <c r="AF5">
        <v>39.72</v>
      </c>
      <c r="AG5">
        <v>1.19</v>
      </c>
      <c r="AH5">
        <v>15</v>
      </c>
      <c r="AI5">
        <v>0</v>
      </c>
      <c r="AJ5">
        <v>11.59</v>
      </c>
      <c r="AK5">
        <v>26.93</v>
      </c>
      <c r="AL5">
        <v>2.39</v>
      </c>
      <c r="AM5">
        <v>0.77</v>
      </c>
      <c r="AN5">
        <v>0.38</v>
      </c>
      <c r="AO5">
        <v>17</v>
      </c>
      <c r="AP5">
        <v>1</v>
      </c>
      <c r="AQ5">
        <v>0</v>
      </c>
      <c r="AR5">
        <v>0</v>
      </c>
      <c r="AS5">
        <v>0.1</v>
      </c>
      <c r="AT5">
        <v>0.05</v>
      </c>
      <c r="AU5">
        <v>0.7</v>
      </c>
      <c r="AV5">
        <v>32.5</v>
      </c>
      <c r="AW5">
        <v>0</v>
      </c>
      <c r="AX5">
        <v>0.65</v>
      </c>
      <c r="AY5">
        <v>0.98</v>
      </c>
      <c r="AZ5">
        <v>0.96</v>
      </c>
      <c r="BA5">
        <v>0.9</v>
      </c>
      <c r="BB5">
        <v>0.2</v>
      </c>
      <c r="BC5">
        <v>0.1</v>
      </c>
      <c r="BD5">
        <v>0.05</v>
      </c>
      <c r="BE5">
        <v>0.05</v>
      </c>
      <c r="BF5">
        <v>36</v>
      </c>
      <c r="BG5">
        <v>0</v>
      </c>
      <c r="BH5">
        <v>0</v>
      </c>
      <c r="BI5">
        <v>302.58999999999997</v>
      </c>
    </row>
    <row r="6" spans="1:61" x14ac:dyDescent="0.25">
      <c r="A6" t="s">
        <v>15</v>
      </c>
      <c r="B6">
        <v>36</v>
      </c>
      <c r="C6">
        <v>39</v>
      </c>
      <c r="D6">
        <v>36</v>
      </c>
      <c r="E6">
        <v>1</v>
      </c>
      <c r="F6">
        <v>760.5</v>
      </c>
      <c r="G6">
        <v>234</v>
      </c>
      <c r="H6">
        <v>0</v>
      </c>
      <c r="I6">
        <v>0</v>
      </c>
      <c r="J6">
        <v>1</v>
      </c>
      <c r="K6">
        <v>0</v>
      </c>
      <c r="L6">
        <v>117</v>
      </c>
      <c r="M6">
        <v>0</v>
      </c>
      <c r="N6">
        <v>0.12538461538461501</v>
      </c>
      <c r="O6">
        <v>0</v>
      </c>
      <c r="P6">
        <v>8</v>
      </c>
      <c r="Q6">
        <v>0</v>
      </c>
      <c r="R6">
        <v>0</v>
      </c>
      <c r="S6">
        <v>1119.5</v>
      </c>
      <c r="T6">
        <v>36</v>
      </c>
      <c r="U6">
        <v>234</v>
      </c>
      <c r="V6">
        <v>36</v>
      </c>
      <c r="W6">
        <v>0</v>
      </c>
      <c r="X6">
        <v>0</v>
      </c>
      <c r="Y6">
        <v>117</v>
      </c>
      <c r="Z6">
        <v>0</v>
      </c>
      <c r="AA6">
        <v>0</v>
      </c>
      <c r="AB6" s="64">
        <v>45635</v>
      </c>
      <c r="AC6" t="s">
        <v>120</v>
      </c>
      <c r="AD6">
        <v>0</v>
      </c>
      <c r="AE6">
        <v>7</v>
      </c>
      <c r="AF6">
        <v>39.36</v>
      </c>
      <c r="AG6">
        <v>0.36</v>
      </c>
      <c r="AH6">
        <v>7</v>
      </c>
      <c r="AI6">
        <v>0</v>
      </c>
      <c r="AJ6">
        <v>4.8899999999999997</v>
      </c>
      <c r="AK6">
        <v>34.11</v>
      </c>
      <c r="AL6">
        <v>11.7</v>
      </c>
      <c r="AM6">
        <v>1.44</v>
      </c>
      <c r="AN6">
        <v>0.18</v>
      </c>
      <c r="AO6">
        <v>11</v>
      </c>
      <c r="AP6">
        <v>0</v>
      </c>
      <c r="AQ6">
        <v>0</v>
      </c>
      <c r="AR6">
        <v>39</v>
      </c>
      <c r="AS6">
        <v>0.1</v>
      </c>
      <c r="AT6">
        <v>0.05</v>
      </c>
      <c r="AU6">
        <v>0.7</v>
      </c>
      <c r="AV6">
        <v>32.5</v>
      </c>
      <c r="AW6">
        <v>0</v>
      </c>
      <c r="AX6">
        <v>0.65</v>
      </c>
      <c r="AY6">
        <v>0.98</v>
      </c>
      <c r="AZ6">
        <v>0.96</v>
      </c>
      <c r="BA6">
        <v>0.9</v>
      </c>
      <c r="BB6">
        <v>0.2</v>
      </c>
      <c r="BC6">
        <v>0.1</v>
      </c>
      <c r="BD6">
        <v>0.05</v>
      </c>
      <c r="BE6">
        <v>0.05</v>
      </c>
      <c r="BF6">
        <v>36</v>
      </c>
      <c r="BG6">
        <v>0</v>
      </c>
      <c r="BH6">
        <v>0</v>
      </c>
      <c r="BI6">
        <v>94.95</v>
      </c>
    </row>
    <row r="7" spans="1:61" x14ac:dyDescent="0.25">
      <c r="A7" t="s">
        <v>15</v>
      </c>
      <c r="B7">
        <v>48</v>
      </c>
      <c r="C7">
        <v>49.019999999999996</v>
      </c>
      <c r="D7">
        <v>48</v>
      </c>
      <c r="E7">
        <v>1</v>
      </c>
      <c r="F7">
        <v>1014</v>
      </c>
      <c r="G7">
        <v>312</v>
      </c>
      <c r="H7">
        <v>0</v>
      </c>
      <c r="I7">
        <v>0</v>
      </c>
      <c r="J7">
        <v>1</v>
      </c>
      <c r="K7">
        <v>0</v>
      </c>
      <c r="L7">
        <v>156</v>
      </c>
      <c r="M7">
        <v>0</v>
      </c>
      <c r="N7">
        <v>0.15830273357813099</v>
      </c>
      <c r="O7">
        <v>0</v>
      </c>
      <c r="P7">
        <v>17</v>
      </c>
      <c r="Q7">
        <v>0</v>
      </c>
      <c r="R7">
        <v>0</v>
      </c>
      <c r="S7">
        <v>1499</v>
      </c>
      <c r="T7">
        <v>48</v>
      </c>
      <c r="U7">
        <v>312</v>
      </c>
      <c r="V7">
        <v>48</v>
      </c>
      <c r="W7">
        <v>0</v>
      </c>
      <c r="X7">
        <v>0</v>
      </c>
      <c r="Y7">
        <v>156</v>
      </c>
      <c r="Z7">
        <v>0</v>
      </c>
      <c r="AA7">
        <v>0</v>
      </c>
      <c r="AB7" s="64">
        <v>45635</v>
      </c>
      <c r="AC7" t="s">
        <v>115</v>
      </c>
      <c r="AD7">
        <v>0</v>
      </c>
      <c r="AE7">
        <v>11</v>
      </c>
      <c r="AF7">
        <v>49.23</v>
      </c>
      <c r="AG7">
        <v>0.21</v>
      </c>
      <c r="AH7">
        <v>11</v>
      </c>
      <c r="AI7">
        <v>0</v>
      </c>
      <c r="AJ7">
        <v>7.76</v>
      </c>
      <c r="AK7">
        <v>41.26</v>
      </c>
      <c r="AL7">
        <v>3.42</v>
      </c>
      <c r="AM7">
        <v>0</v>
      </c>
      <c r="AN7">
        <v>0.22</v>
      </c>
      <c r="AO7">
        <v>11</v>
      </c>
      <c r="AP7">
        <v>0</v>
      </c>
      <c r="AQ7">
        <v>0</v>
      </c>
      <c r="AR7">
        <v>49.019999999999996</v>
      </c>
      <c r="AS7">
        <v>0.1</v>
      </c>
      <c r="AT7">
        <v>0.05</v>
      </c>
      <c r="AU7">
        <v>0.7</v>
      </c>
      <c r="AV7">
        <v>32.5</v>
      </c>
      <c r="AW7">
        <v>0</v>
      </c>
      <c r="AX7">
        <v>0.65</v>
      </c>
      <c r="AY7">
        <v>0.98</v>
      </c>
      <c r="AZ7">
        <v>0.96</v>
      </c>
      <c r="BA7">
        <v>0.9</v>
      </c>
      <c r="BB7">
        <v>0.2</v>
      </c>
      <c r="BC7">
        <v>0.1</v>
      </c>
      <c r="BD7">
        <v>0.05</v>
      </c>
      <c r="BE7">
        <v>0.05</v>
      </c>
      <c r="BF7">
        <v>48</v>
      </c>
      <c r="BG7">
        <v>0</v>
      </c>
      <c r="BH7">
        <v>0</v>
      </c>
      <c r="BI7">
        <v>153.63999999999999</v>
      </c>
    </row>
    <row r="8" spans="1:61" x14ac:dyDescent="0.25">
      <c r="A8" t="s">
        <v>15</v>
      </c>
      <c r="B8">
        <v>36</v>
      </c>
      <c r="C8">
        <v>37.31</v>
      </c>
      <c r="D8">
        <v>36</v>
      </c>
      <c r="E8">
        <v>1</v>
      </c>
      <c r="F8">
        <v>760.5</v>
      </c>
      <c r="G8">
        <v>234</v>
      </c>
      <c r="H8">
        <v>0</v>
      </c>
      <c r="I8">
        <v>0</v>
      </c>
      <c r="J8">
        <v>1</v>
      </c>
      <c r="K8">
        <v>0</v>
      </c>
      <c r="L8">
        <v>117</v>
      </c>
      <c r="M8">
        <v>0</v>
      </c>
      <c r="N8">
        <v>0.23371750201018501</v>
      </c>
      <c r="O8">
        <v>0</v>
      </c>
      <c r="P8">
        <v>3</v>
      </c>
      <c r="Q8">
        <v>0</v>
      </c>
      <c r="R8">
        <v>0</v>
      </c>
      <c r="S8">
        <v>1114.5</v>
      </c>
      <c r="T8">
        <v>36</v>
      </c>
      <c r="U8">
        <v>234</v>
      </c>
      <c r="V8">
        <v>36</v>
      </c>
      <c r="W8">
        <v>0</v>
      </c>
      <c r="X8">
        <v>0</v>
      </c>
      <c r="Y8">
        <v>117</v>
      </c>
      <c r="Z8">
        <v>0</v>
      </c>
      <c r="AA8">
        <v>0</v>
      </c>
      <c r="AB8" s="64">
        <v>45635</v>
      </c>
      <c r="AC8" t="s">
        <v>51</v>
      </c>
      <c r="AD8">
        <v>0</v>
      </c>
      <c r="AE8">
        <v>13</v>
      </c>
      <c r="AF8">
        <v>37.31</v>
      </c>
      <c r="AG8">
        <v>0</v>
      </c>
      <c r="AH8">
        <v>13</v>
      </c>
      <c r="AI8">
        <v>0</v>
      </c>
      <c r="AJ8">
        <v>8.7200000000000006</v>
      </c>
      <c r="AK8">
        <v>28.59</v>
      </c>
      <c r="AL8">
        <v>1.19</v>
      </c>
      <c r="AM8">
        <v>0.92</v>
      </c>
      <c r="AN8">
        <v>0.35</v>
      </c>
      <c r="AO8">
        <v>14</v>
      </c>
      <c r="AP8">
        <v>0</v>
      </c>
      <c r="AQ8">
        <v>0</v>
      </c>
      <c r="AR8">
        <v>37.31</v>
      </c>
      <c r="AS8">
        <v>0.1</v>
      </c>
      <c r="AT8">
        <v>0.05</v>
      </c>
      <c r="AU8">
        <v>0.7</v>
      </c>
      <c r="AV8">
        <v>32.5</v>
      </c>
      <c r="AW8">
        <v>0</v>
      </c>
      <c r="AX8">
        <v>0.65</v>
      </c>
      <c r="AY8">
        <v>0.98</v>
      </c>
      <c r="AZ8">
        <v>0.96</v>
      </c>
      <c r="BA8">
        <v>0.9</v>
      </c>
      <c r="BB8">
        <v>0.2</v>
      </c>
      <c r="BC8">
        <v>0.1</v>
      </c>
      <c r="BD8">
        <v>0.05</v>
      </c>
      <c r="BE8">
        <v>0.05</v>
      </c>
      <c r="BF8">
        <v>36</v>
      </c>
      <c r="BG8">
        <v>0</v>
      </c>
      <c r="BH8">
        <v>0</v>
      </c>
      <c r="BI8">
        <v>186.06</v>
      </c>
    </row>
    <row r="9" spans="1:61" x14ac:dyDescent="0.25">
      <c r="A9" t="s">
        <v>15</v>
      </c>
      <c r="B9">
        <v>48</v>
      </c>
      <c r="C9">
        <v>47.06</v>
      </c>
      <c r="D9">
        <v>47.06</v>
      </c>
      <c r="E9">
        <v>0.98041666666666705</v>
      </c>
      <c r="F9">
        <v>994.14250000000004</v>
      </c>
      <c r="G9">
        <v>305.89</v>
      </c>
      <c r="H9">
        <v>0</v>
      </c>
      <c r="I9">
        <v>0</v>
      </c>
      <c r="J9">
        <v>1</v>
      </c>
      <c r="K9">
        <v>0</v>
      </c>
      <c r="L9">
        <v>152.94499999999999</v>
      </c>
      <c r="M9">
        <v>0</v>
      </c>
      <c r="N9">
        <v>0.285592860178496</v>
      </c>
      <c r="O9">
        <v>0</v>
      </c>
      <c r="P9">
        <v>36.380000000000003</v>
      </c>
      <c r="Q9">
        <v>0</v>
      </c>
      <c r="R9">
        <v>0</v>
      </c>
      <c r="S9">
        <v>1489.3575000000001</v>
      </c>
      <c r="T9">
        <v>48</v>
      </c>
      <c r="U9">
        <v>305.89</v>
      </c>
      <c r="V9">
        <v>47.06</v>
      </c>
      <c r="W9">
        <v>0</v>
      </c>
      <c r="X9">
        <v>0</v>
      </c>
      <c r="Y9">
        <v>152.94499999999999</v>
      </c>
      <c r="Z9">
        <v>0</v>
      </c>
      <c r="AA9">
        <v>0</v>
      </c>
      <c r="AB9" s="64">
        <v>45635</v>
      </c>
      <c r="AC9" t="s">
        <v>221</v>
      </c>
      <c r="AD9">
        <v>0</v>
      </c>
      <c r="AE9">
        <v>15</v>
      </c>
      <c r="AF9">
        <v>47.06</v>
      </c>
      <c r="AG9">
        <v>0</v>
      </c>
      <c r="AH9">
        <v>15</v>
      </c>
      <c r="AI9">
        <v>0</v>
      </c>
      <c r="AJ9">
        <v>13.44</v>
      </c>
      <c r="AK9">
        <v>33.619999999999997</v>
      </c>
      <c r="AL9">
        <v>43.37</v>
      </c>
      <c r="AM9">
        <v>13.44</v>
      </c>
      <c r="AN9">
        <v>0.32</v>
      </c>
      <c r="AO9">
        <v>17</v>
      </c>
      <c r="AP9">
        <v>0</v>
      </c>
      <c r="AQ9">
        <v>0</v>
      </c>
      <c r="AR9">
        <v>47.06</v>
      </c>
      <c r="AS9">
        <v>0.1</v>
      </c>
      <c r="AT9">
        <v>0.05</v>
      </c>
      <c r="AU9">
        <v>0.7</v>
      </c>
      <c r="AV9">
        <v>32.5</v>
      </c>
      <c r="AW9">
        <v>0</v>
      </c>
      <c r="AX9">
        <v>0.65</v>
      </c>
      <c r="AY9">
        <v>0.98</v>
      </c>
      <c r="AZ9">
        <v>0.96</v>
      </c>
      <c r="BA9">
        <v>0.9</v>
      </c>
      <c r="BB9">
        <v>0.2</v>
      </c>
      <c r="BC9">
        <v>0.1</v>
      </c>
      <c r="BD9">
        <v>0.05</v>
      </c>
      <c r="BE9">
        <v>0.05</v>
      </c>
      <c r="BF9">
        <v>48</v>
      </c>
      <c r="BG9">
        <v>0</v>
      </c>
      <c r="BH9">
        <v>0</v>
      </c>
      <c r="BI9">
        <v>236.129999999999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B25A1-E53B-4BE1-92DC-FBCFB9056E35}">
  <sheetPr codeName="Sheet28"/>
  <dimension ref="A1:AH9"/>
  <sheetViews>
    <sheetView workbookViewId="0">
      <selection activeCell="B9" sqref="B9"/>
    </sheetView>
  </sheetViews>
  <sheetFormatPr defaultRowHeight="15" x14ac:dyDescent="0.25"/>
  <cols>
    <col min="1" max="1" width="9.7109375" bestFit="1" customWidth="1"/>
    <col min="2" max="2" width="13.42578125" bestFit="1" customWidth="1"/>
    <col min="3" max="3" width="13" bestFit="1" customWidth="1"/>
    <col min="4" max="4" width="18.140625" bestFit="1" customWidth="1"/>
    <col min="5" max="5" width="18" bestFit="1" customWidth="1"/>
    <col min="6" max="6" width="18.85546875" bestFit="1" customWidth="1"/>
    <col min="7" max="7" width="20" bestFit="1" customWidth="1"/>
    <col min="8" max="8" width="15.42578125" bestFit="1" customWidth="1"/>
    <col min="9" max="9" width="14.85546875" bestFit="1" customWidth="1"/>
    <col min="10" max="10" width="26.5703125" bestFit="1" customWidth="1"/>
    <col min="11" max="11" width="13.28515625" bestFit="1" customWidth="1"/>
    <col min="12" max="12" width="7.42578125" bestFit="1" customWidth="1"/>
    <col min="13" max="13" width="38.42578125" bestFit="1" customWidth="1"/>
    <col min="14" max="14" width="12.5703125" bestFit="1" customWidth="1"/>
    <col min="15" max="15" width="16.85546875" bestFit="1" customWidth="1"/>
    <col min="16" max="16" width="16" bestFit="1" customWidth="1"/>
    <col min="17" max="17" width="22.28515625" bestFit="1" customWidth="1"/>
    <col min="18" max="18" width="13.7109375" bestFit="1" customWidth="1"/>
    <col min="19" max="19" width="31" bestFit="1" customWidth="1"/>
    <col min="20" max="20" width="27" bestFit="1" customWidth="1"/>
    <col min="21" max="21" width="15.85546875" bestFit="1" customWidth="1"/>
    <col min="22" max="22" width="15.7109375" bestFit="1" customWidth="1"/>
    <col min="23" max="23" width="15.140625" bestFit="1" customWidth="1"/>
    <col min="24" max="24" width="15.5703125" bestFit="1" customWidth="1"/>
    <col min="25" max="26" width="15.140625" bestFit="1" customWidth="1"/>
    <col min="27" max="27" width="10.28515625" bestFit="1" customWidth="1"/>
    <col min="28" max="28" width="10" bestFit="1" customWidth="1"/>
    <col min="29" max="30" width="19.85546875" bestFit="1" customWidth="1"/>
    <col min="31" max="31" width="11.7109375" bestFit="1" customWidth="1"/>
    <col min="32" max="32" width="20" bestFit="1" customWidth="1"/>
    <col min="33" max="33" width="22.7109375" bestFit="1" customWidth="1"/>
    <col min="34" max="34" width="18.7109375" bestFit="1" customWidth="1"/>
  </cols>
  <sheetData>
    <row r="1" spans="1:34" x14ac:dyDescent="0.25">
      <c r="A1" t="s">
        <v>39</v>
      </c>
      <c r="B1" t="s">
        <v>92</v>
      </c>
      <c r="C1" t="s">
        <v>93</v>
      </c>
      <c r="D1" t="s">
        <v>94</v>
      </c>
      <c r="E1" t="s">
        <v>63</v>
      </c>
      <c r="F1" t="s">
        <v>64</v>
      </c>
      <c r="G1" t="s">
        <v>95</v>
      </c>
      <c r="H1" t="s">
        <v>96</v>
      </c>
      <c r="I1" t="s">
        <v>56</v>
      </c>
      <c r="J1" t="s">
        <v>97</v>
      </c>
      <c r="K1" t="s">
        <v>98</v>
      </c>
      <c r="L1" t="s">
        <v>68</v>
      </c>
      <c r="M1" t="s">
        <v>175</v>
      </c>
      <c r="N1" t="s">
        <v>150</v>
      </c>
      <c r="O1" t="s">
        <v>151</v>
      </c>
      <c r="P1" t="s">
        <v>152</v>
      </c>
      <c r="Q1" t="s">
        <v>176</v>
      </c>
      <c r="R1" t="s">
        <v>153</v>
      </c>
      <c r="S1" t="s">
        <v>177</v>
      </c>
      <c r="T1" t="s">
        <v>178</v>
      </c>
      <c r="U1" t="s">
        <v>179</v>
      </c>
      <c r="V1" t="s">
        <v>180</v>
      </c>
      <c r="W1" t="s">
        <v>181</v>
      </c>
      <c r="X1" t="s">
        <v>182</v>
      </c>
      <c r="Y1" t="s">
        <v>183</v>
      </c>
      <c r="Z1" t="s">
        <v>184</v>
      </c>
      <c r="AA1" t="s">
        <v>185</v>
      </c>
      <c r="AB1" t="s">
        <v>54</v>
      </c>
      <c r="AC1" t="s">
        <v>18</v>
      </c>
      <c r="AD1" t="s">
        <v>19</v>
      </c>
      <c r="AE1" t="s">
        <v>160</v>
      </c>
      <c r="AF1" t="s">
        <v>186</v>
      </c>
      <c r="AG1" t="s">
        <v>102</v>
      </c>
      <c r="AH1" t="s">
        <v>17</v>
      </c>
    </row>
    <row r="2" spans="1:34" hidden="1" x14ac:dyDescent="0.25">
      <c r="A2" s="64">
        <v>45628</v>
      </c>
      <c r="B2" t="s">
        <v>187</v>
      </c>
      <c r="C2" t="s">
        <v>188</v>
      </c>
      <c r="D2">
        <v>5</v>
      </c>
      <c r="E2">
        <v>1</v>
      </c>
      <c r="F2">
        <v>0</v>
      </c>
      <c r="G2">
        <v>39.5</v>
      </c>
      <c r="H2">
        <v>0.37</v>
      </c>
      <c r="I2">
        <v>39.130000000000003</v>
      </c>
      <c r="J2">
        <v>59.03</v>
      </c>
      <c r="K2">
        <v>6</v>
      </c>
      <c r="L2">
        <v>0</v>
      </c>
      <c r="M2" t="s">
        <v>189</v>
      </c>
      <c r="N2">
        <v>5</v>
      </c>
      <c r="O2">
        <v>0</v>
      </c>
      <c r="P2">
        <v>3.63</v>
      </c>
      <c r="Q2">
        <v>0</v>
      </c>
      <c r="R2">
        <v>35.5</v>
      </c>
      <c r="S2">
        <v>11.67</v>
      </c>
      <c r="T2">
        <v>0.03</v>
      </c>
      <c r="U2">
        <v>0.13</v>
      </c>
      <c r="V2">
        <v>9</v>
      </c>
      <c r="W2">
        <v>0</v>
      </c>
      <c r="X2">
        <v>0</v>
      </c>
      <c r="Y2">
        <v>39.130000000000003</v>
      </c>
      <c r="Z2">
        <v>0</v>
      </c>
      <c r="AA2">
        <v>0</v>
      </c>
      <c r="AB2" t="s">
        <v>14</v>
      </c>
      <c r="AC2">
        <v>0.1</v>
      </c>
      <c r="AD2">
        <v>0.05</v>
      </c>
      <c r="AE2">
        <v>39.130000000000003</v>
      </c>
      <c r="AF2" t="s">
        <v>120</v>
      </c>
      <c r="AG2" t="s">
        <v>120</v>
      </c>
      <c r="AH2">
        <v>0.7</v>
      </c>
    </row>
    <row r="3" spans="1:34" hidden="1" x14ac:dyDescent="0.25">
      <c r="A3" s="64">
        <v>45635</v>
      </c>
      <c r="B3" t="s">
        <v>187</v>
      </c>
      <c r="C3" t="s">
        <v>188</v>
      </c>
      <c r="D3">
        <v>7</v>
      </c>
      <c r="E3">
        <v>1</v>
      </c>
      <c r="F3">
        <v>0</v>
      </c>
      <c r="G3">
        <v>39.36</v>
      </c>
      <c r="H3">
        <v>0.36</v>
      </c>
      <c r="I3">
        <v>39</v>
      </c>
      <c r="J3">
        <v>94.95</v>
      </c>
      <c r="K3">
        <v>8</v>
      </c>
      <c r="L3">
        <v>0</v>
      </c>
      <c r="M3" t="s">
        <v>189</v>
      </c>
      <c r="N3">
        <v>7</v>
      </c>
      <c r="O3">
        <v>0</v>
      </c>
      <c r="P3">
        <v>4.8899999999999997</v>
      </c>
      <c r="Q3">
        <v>0</v>
      </c>
      <c r="R3">
        <v>34.11</v>
      </c>
      <c r="S3">
        <v>11.7</v>
      </c>
      <c r="T3">
        <v>1.44</v>
      </c>
      <c r="U3">
        <v>0.18</v>
      </c>
      <c r="V3">
        <v>11</v>
      </c>
      <c r="W3">
        <v>0</v>
      </c>
      <c r="X3">
        <v>0</v>
      </c>
      <c r="Y3">
        <v>39</v>
      </c>
      <c r="Z3">
        <v>0</v>
      </c>
      <c r="AA3">
        <v>0</v>
      </c>
      <c r="AB3" t="s">
        <v>15</v>
      </c>
      <c r="AC3">
        <v>0.1</v>
      </c>
      <c r="AD3">
        <v>0.05</v>
      </c>
      <c r="AE3">
        <v>39</v>
      </c>
      <c r="AF3" t="s">
        <v>120</v>
      </c>
      <c r="AG3" t="s">
        <v>120</v>
      </c>
      <c r="AH3">
        <v>0.7</v>
      </c>
    </row>
    <row r="4" spans="1:34" hidden="1" x14ac:dyDescent="0.25">
      <c r="A4" s="64">
        <v>45628</v>
      </c>
      <c r="B4" t="s">
        <v>190</v>
      </c>
      <c r="C4" t="s">
        <v>191</v>
      </c>
      <c r="D4">
        <v>3</v>
      </c>
      <c r="E4">
        <v>1</v>
      </c>
      <c r="F4">
        <v>9.0909090909090912E-2</v>
      </c>
      <c r="G4">
        <v>48.48</v>
      </c>
      <c r="H4">
        <v>0</v>
      </c>
      <c r="I4">
        <v>48.48</v>
      </c>
      <c r="J4">
        <v>42.22</v>
      </c>
      <c r="K4">
        <v>12</v>
      </c>
      <c r="L4">
        <v>0</v>
      </c>
      <c r="M4" t="s">
        <v>192</v>
      </c>
      <c r="N4">
        <v>3</v>
      </c>
      <c r="O4">
        <v>0</v>
      </c>
      <c r="P4">
        <v>5.95</v>
      </c>
      <c r="Q4">
        <v>0</v>
      </c>
      <c r="R4">
        <v>42.53</v>
      </c>
      <c r="S4">
        <v>40.74</v>
      </c>
      <c r="T4">
        <v>5.95</v>
      </c>
      <c r="U4">
        <v>0.06</v>
      </c>
      <c r="V4">
        <v>11</v>
      </c>
      <c r="W4">
        <v>0</v>
      </c>
      <c r="X4">
        <v>1</v>
      </c>
      <c r="Y4">
        <v>0</v>
      </c>
      <c r="Z4">
        <v>0</v>
      </c>
      <c r="AA4">
        <v>48.48</v>
      </c>
      <c r="AB4" t="s">
        <v>14</v>
      </c>
      <c r="AC4">
        <v>0.1</v>
      </c>
      <c r="AD4">
        <v>0.05</v>
      </c>
      <c r="AE4">
        <v>0</v>
      </c>
      <c r="AF4" t="s">
        <v>109</v>
      </c>
      <c r="AG4" t="s">
        <v>109</v>
      </c>
      <c r="AH4">
        <v>0.7</v>
      </c>
    </row>
    <row r="5" spans="1:34" hidden="1" x14ac:dyDescent="0.25">
      <c r="A5" s="64">
        <v>45628</v>
      </c>
      <c r="B5" t="s">
        <v>193</v>
      </c>
      <c r="C5" t="s">
        <v>194</v>
      </c>
      <c r="D5">
        <v>9</v>
      </c>
      <c r="E5">
        <v>1</v>
      </c>
      <c r="F5">
        <v>0</v>
      </c>
      <c r="G5">
        <v>48.55</v>
      </c>
      <c r="H5">
        <v>0.2</v>
      </c>
      <c r="I5">
        <v>48.349999999999994</v>
      </c>
      <c r="J5">
        <v>124.93</v>
      </c>
      <c r="K5">
        <v>22.42</v>
      </c>
      <c r="L5">
        <v>0</v>
      </c>
      <c r="M5" t="s">
        <v>195</v>
      </c>
      <c r="N5">
        <v>9</v>
      </c>
      <c r="O5">
        <v>0</v>
      </c>
      <c r="P5">
        <v>5.79</v>
      </c>
      <c r="Q5">
        <v>0</v>
      </c>
      <c r="R5">
        <v>42.56</v>
      </c>
      <c r="S5">
        <v>3.45</v>
      </c>
      <c r="T5">
        <v>1.1599999999999999</v>
      </c>
      <c r="U5">
        <v>0.19</v>
      </c>
      <c r="V5">
        <v>9</v>
      </c>
      <c r="W5">
        <v>0</v>
      </c>
      <c r="X5">
        <v>0</v>
      </c>
      <c r="Y5">
        <v>48.349999999999994</v>
      </c>
      <c r="Z5">
        <v>0</v>
      </c>
      <c r="AA5">
        <v>0</v>
      </c>
      <c r="AB5" t="s">
        <v>14</v>
      </c>
      <c r="AC5">
        <v>0.1</v>
      </c>
      <c r="AD5">
        <v>0.05</v>
      </c>
      <c r="AE5">
        <v>48.349999999999994</v>
      </c>
      <c r="AF5" t="s">
        <v>116</v>
      </c>
      <c r="AG5" t="s">
        <v>115</v>
      </c>
      <c r="AH5">
        <v>0.7</v>
      </c>
    </row>
    <row r="6" spans="1:34" hidden="1" x14ac:dyDescent="0.25">
      <c r="A6" s="64">
        <v>45635</v>
      </c>
      <c r="B6" t="s">
        <v>193</v>
      </c>
      <c r="C6" t="s">
        <v>194</v>
      </c>
      <c r="D6">
        <v>11</v>
      </c>
      <c r="E6">
        <v>1</v>
      </c>
      <c r="F6">
        <v>0</v>
      </c>
      <c r="G6">
        <v>49.23</v>
      </c>
      <c r="H6">
        <v>0.21</v>
      </c>
      <c r="I6">
        <v>49.019999999999996</v>
      </c>
      <c r="J6">
        <v>153.63999999999999</v>
      </c>
      <c r="K6">
        <v>17</v>
      </c>
      <c r="L6">
        <v>0</v>
      </c>
      <c r="M6" t="s">
        <v>195</v>
      </c>
      <c r="N6">
        <v>11</v>
      </c>
      <c r="O6">
        <v>0</v>
      </c>
      <c r="P6">
        <v>7.76</v>
      </c>
      <c r="Q6">
        <v>0</v>
      </c>
      <c r="R6">
        <v>41.26</v>
      </c>
      <c r="S6">
        <v>3.42</v>
      </c>
      <c r="T6">
        <v>0</v>
      </c>
      <c r="U6">
        <v>0.22</v>
      </c>
      <c r="V6">
        <v>11</v>
      </c>
      <c r="W6">
        <v>0</v>
      </c>
      <c r="X6">
        <v>0</v>
      </c>
      <c r="Y6">
        <v>49.019999999999996</v>
      </c>
      <c r="Z6">
        <v>0</v>
      </c>
      <c r="AA6">
        <v>0</v>
      </c>
      <c r="AB6" t="s">
        <v>15</v>
      </c>
      <c r="AC6">
        <v>0.1</v>
      </c>
      <c r="AD6">
        <v>0.05</v>
      </c>
      <c r="AE6">
        <v>49.019999999999996</v>
      </c>
      <c r="AF6" t="s">
        <v>116</v>
      </c>
      <c r="AG6" t="s">
        <v>115</v>
      </c>
      <c r="AH6">
        <v>0.7</v>
      </c>
    </row>
    <row r="7" spans="1:34" hidden="1" x14ac:dyDescent="0.25">
      <c r="A7" s="64">
        <v>45628</v>
      </c>
      <c r="B7" t="s">
        <v>196</v>
      </c>
      <c r="C7" t="s">
        <v>197</v>
      </c>
      <c r="D7">
        <v>15</v>
      </c>
      <c r="E7">
        <v>0.94444444444444442</v>
      </c>
      <c r="F7">
        <v>0</v>
      </c>
      <c r="G7">
        <v>39.72</v>
      </c>
      <c r="H7">
        <v>1.19</v>
      </c>
      <c r="I7">
        <v>38.53</v>
      </c>
      <c r="J7">
        <v>302.58999999999997</v>
      </c>
      <c r="K7">
        <v>28</v>
      </c>
      <c r="L7">
        <v>0</v>
      </c>
      <c r="M7" t="s">
        <v>198</v>
      </c>
      <c r="N7">
        <v>15</v>
      </c>
      <c r="O7">
        <v>0</v>
      </c>
      <c r="P7">
        <v>11.59</v>
      </c>
      <c r="Q7">
        <v>0</v>
      </c>
      <c r="R7">
        <v>26.93</v>
      </c>
      <c r="S7">
        <v>2.39</v>
      </c>
      <c r="T7">
        <v>0.77</v>
      </c>
      <c r="U7">
        <v>0.38</v>
      </c>
      <c r="V7">
        <v>17</v>
      </c>
      <c r="W7">
        <v>1</v>
      </c>
      <c r="X7">
        <v>0</v>
      </c>
      <c r="Y7">
        <v>0</v>
      </c>
      <c r="Z7">
        <v>0</v>
      </c>
      <c r="AA7">
        <v>38.53</v>
      </c>
      <c r="AB7" t="s">
        <v>14</v>
      </c>
      <c r="AC7">
        <v>0.1</v>
      </c>
      <c r="AD7">
        <v>0.05</v>
      </c>
      <c r="AE7">
        <v>0</v>
      </c>
      <c r="AF7" t="s">
        <v>51</v>
      </c>
      <c r="AG7" t="s">
        <v>51</v>
      </c>
      <c r="AH7">
        <v>0.7</v>
      </c>
    </row>
    <row r="8" spans="1:34" hidden="1" x14ac:dyDescent="0.25">
      <c r="A8" s="64">
        <v>45635</v>
      </c>
      <c r="B8" t="s">
        <v>196</v>
      </c>
      <c r="C8" t="s">
        <v>197</v>
      </c>
      <c r="D8">
        <v>13</v>
      </c>
      <c r="E8">
        <v>1</v>
      </c>
      <c r="F8">
        <v>0</v>
      </c>
      <c r="G8">
        <v>37.31</v>
      </c>
      <c r="H8">
        <v>0</v>
      </c>
      <c r="I8">
        <v>37.31</v>
      </c>
      <c r="J8">
        <v>186.06</v>
      </c>
      <c r="K8">
        <v>3</v>
      </c>
      <c r="L8">
        <v>0</v>
      </c>
      <c r="M8" t="s">
        <v>198</v>
      </c>
      <c r="N8">
        <v>13</v>
      </c>
      <c r="O8">
        <v>0</v>
      </c>
      <c r="P8">
        <v>8.7200000000000006</v>
      </c>
      <c r="Q8">
        <v>0</v>
      </c>
      <c r="R8">
        <v>28.59</v>
      </c>
      <c r="S8">
        <v>1.19</v>
      </c>
      <c r="T8">
        <v>0.92</v>
      </c>
      <c r="U8">
        <v>0.35</v>
      </c>
      <c r="V8">
        <v>14</v>
      </c>
      <c r="W8">
        <v>0</v>
      </c>
      <c r="X8">
        <v>0</v>
      </c>
      <c r="Y8">
        <v>37.31</v>
      </c>
      <c r="Z8">
        <v>0</v>
      </c>
      <c r="AA8">
        <v>0</v>
      </c>
      <c r="AB8" t="s">
        <v>15</v>
      </c>
      <c r="AC8">
        <v>0.1</v>
      </c>
      <c r="AD8">
        <v>0.05</v>
      </c>
      <c r="AE8">
        <v>37.31</v>
      </c>
      <c r="AF8" t="s">
        <v>51</v>
      </c>
      <c r="AG8" t="s">
        <v>51</v>
      </c>
      <c r="AH8">
        <v>0.7</v>
      </c>
    </row>
    <row r="9" spans="1:34" hidden="1" x14ac:dyDescent="0.25">
      <c r="A9" s="64">
        <v>45635</v>
      </c>
      <c r="B9" t="s">
        <v>353</v>
      </c>
      <c r="C9" t="s">
        <v>354</v>
      </c>
      <c r="D9">
        <v>15</v>
      </c>
      <c r="E9">
        <v>1</v>
      </c>
      <c r="F9">
        <v>0</v>
      </c>
      <c r="G9">
        <v>47.06</v>
      </c>
      <c r="H9">
        <v>0</v>
      </c>
      <c r="I9">
        <v>47.06</v>
      </c>
      <c r="J9">
        <v>236.129999999999</v>
      </c>
      <c r="K9">
        <v>36.380000000000003</v>
      </c>
      <c r="L9">
        <v>0</v>
      </c>
      <c r="M9" t="s">
        <v>355</v>
      </c>
      <c r="N9">
        <v>15</v>
      </c>
      <c r="O9">
        <v>0</v>
      </c>
      <c r="P9">
        <v>13.44</v>
      </c>
      <c r="Q9">
        <v>0</v>
      </c>
      <c r="R9">
        <v>33.619999999999997</v>
      </c>
      <c r="S9">
        <v>43.37</v>
      </c>
      <c r="T9">
        <v>13.44</v>
      </c>
      <c r="U9">
        <v>0.32</v>
      </c>
      <c r="V9">
        <v>17</v>
      </c>
      <c r="W9">
        <v>0</v>
      </c>
      <c r="X9">
        <v>0</v>
      </c>
      <c r="Y9">
        <v>47.06</v>
      </c>
      <c r="Z9">
        <v>0</v>
      </c>
      <c r="AA9">
        <v>0</v>
      </c>
      <c r="AB9" t="s">
        <v>15</v>
      </c>
      <c r="AC9">
        <v>0.1</v>
      </c>
      <c r="AD9">
        <v>0.05</v>
      </c>
      <c r="AE9">
        <v>47.06</v>
      </c>
      <c r="AF9" t="s">
        <v>356</v>
      </c>
      <c r="AG9" t="s">
        <v>221</v>
      </c>
      <c r="AH9">
        <v>0.7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ECE15-0D9C-44DE-9370-647CDFF1D838}">
  <sheetPr codeName="Sheet8"/>
  <dimension ref="A1:F62"/>
  <sheetViews>
    <sheetView showGridLines="0" topLeftCell="A44" workbookViewId="0">
      <selection activeCell="H64" sqref="H64"/>
    </sheetView>
  </sheetViews>
  <sheetFormatPr defaultRowHeight="15" x14ac:dyDescent="0.25"/>
  <cols>
    <col min="1" max="1" width="11.85546875" bestFit="1" customWidth="1"/>
    <col min="2" max="2" width="8.5703125" bestFit="1" customWidth="1"/>
    <col min="3" max="3" width="11.85546875" bestFit="1" customWidth="1"/>
    <col min="4" max="4" width="25.28515625" bestFit="1" customWidth="1"/>
    <col min="5" max="5" width="21.7109375" bestFit="1" customWidth="1"/>
    <col min="6" max="6" width="33.42578125" bestFit="1" customWidth="1"/>
    <col min="7" max="7" width="20.42578125" customWidth="1"/>
  </cols>
  <sheetData>
    <row r="1" spans="1:6" x14ac:dyDescent="0.25">
      <c r="A1" t="s">
        <v>199</v>
      </c>
      <c r="B1" t="s">
        <v>200</v>
      </c>
      <c r="C1" t="s">
        <v>201</v>
      </c>
      <c r="D1" t="s">
        <v>202</v>
      </c>
      <c r="E1" t="s">
        <v>91</v>
      </c>
      <c r="F1" t="s">
        <v>203</v>
      </c>
    </row>
    <row r="2" spans="1:6" x14ac:dyDescent="0.25">
      <c r="A2" s="64">
        <v>45628</v>
      </c>
      <c r="B2" t="s">
        <v>204</v>
      </c>
      <c r="C2" t="s">
        <v>357</v>
      </c>
      <c r="D2" t="s">
        <v>205</v>
      </c>
      <c r="E2">
        <v>5.6</v>
      </c>
      <c r="F2" t="s">
        <v>112</v>
      </c>
    </row>
    <row r="3" spans="1:6" x14ac:dyDescent="0.25">
      <c r="A3" s="64">
        <v>45629</v>
      </c>
      <c r="B3" t="s">
        <v>204</v>
      </c>
      <c r="C3" t="s">
        <v>357</v>
      </c>
      <c r="D3" t="s">
        <v>205</v>
      </c>
      <c r="E3">
        <v>2.8</v>
      </c>
      <c r="F3" t="s">
        <v>112</v>
      </c>
    </row>
    <row r="4" spans="1:6" x14ac:dyDescent="0.25">
      <c r="A4" s="64">
        <v>45630</v>
      </c>
      <c r="B4" t="s">
        <v>204</v>
      </c>
      <c r="C4" t="s">
        <v>357</v>
      </c>
      <c r="D4" t="s">
        <v>205</v>
      </c>
      <c r="E4">
        <v>2.8</v>
      </c>
      <c r="F4" t="s">
        <v>112</v>
      </c>
    </row>
    <row r="5" spans="1:6" x14ac:dyDescent="0.25">
      <c r="A5" s="64">
        <v>45631</v>
      </c>
      <c r="B5" t="s">
        <v>204</v>
      </c>
      <c r="C5" t="s">
        <v>357</v>
      </c>
      <c r="D5" t="s">
        <v>205</v>
      </c>
      <c r="E5">
        <v>14</v>
      </c>
      <c r="F5" t="s">
        <v>112</v>
      </c>
    </row>
    <row r="6" spans="1:6" x14ac:dyDescent="0.25">
      <c r="A6" s="64">
        <v>45631</v>
      </c>
      <c r="B6" t="s">
        <v>266</v>
      </c>
      <c r="C6" t="s">
        <v>357</v>
      </c>
      <c r="D6" t="s">
        <v>359</v>
      </c>
      <c r="E6">
        <v>2.8</v>
      </c>
      <c r="F6" t="s">
        <v>360</v>
      </c>
    </row>
    <row r="7" spans="1:6" x14ac:dyDescent="0.25">
      <c r="A7" s="64">
        <v>45628</v>
      </c>
      <c r="B7" t="s">
        <v>269</v>
      </c>
      <c r="C7" t="s">
        <v>357</v>
      </c>
      <c r="D7" t="s">
        <v>358</v>
      </c>
      <c r="E7">
        <v>2.8</v>
      </c>
      <c r="F7" t="s">
        <v>372</v>
      </c>
    </row>
    <row r="8" spans="1:6" x14ac:dyDescent="0.25">
      <c r="A8" s="64">
        <v>45629</v>
      </c>
      <c r="B8" t="s">
        <v>269</v>
      </c>
      <c r="C8" t="s">
        <v>357</v>
      </c>
      <c r="D8" t="s">
        <v>358</v>
      </c>
      <c r="E8">
        <v>5.6</v>
      </c>
      <c r="F8" t="s">
        <v>372</v>
      </c>
    </row>
    <row r="9" spans="1:6" x14ac:dyDescent="0.25">
      <c r="A9" s="64">
        <v>45632</v>
      </c>
      <c r="B9" t="s">
        <v>269</v>
      </c>
      <c r="C9" t="s">
        <v>357</v>
      </c>
      <c r="D9" t="s">
        <v>358</v>
      </c>
      <c r="E9">
        <v>2.8</v>
      </c>
      <c r="F9" t="s">
        <v>372</v>
      </c>
    </row>
    <row r="10" spans="1:6" x14ac:dyDescent="0.25">
      <c r="A10" s="64">
        <v>45628</v>
      </c>
      <c r="B10" t="s">
        <v>209</v>
      </c>
      <c r="C10" t="s">
        <v>357</v>
      </c>
      <c r="D10" t="s">
        <v>210</v>
      </c>
      <c r="E10">
        <v>2.8</v>
      </c>
      <c r="F10" t="s">
        <v>211</v>
      </c>
    </row>
    <row r="11" spans="1:6" x14ac:dyDescent="0.25">
      <c r="A11" s="64">
        <v>45630</v>
      </c>
      <c r="B11" t="s">
        <v>209</v>
      </c>
      <c r="C11" t="s">
        <v>357</v>
      </c>
      <c r="D11" t="s">
        <v>210</v>
      </c>
      <c r="E11">
        <v>2.8</v>
      </c>
      <c r="F11" t="s">
        <v>211</v>
      </c>
    </row>
    <row r="12" spans="1:6" x14ac:dyDescent="0.25">
      <c r="A12" s="64">
        <v>45629</v>
      </c>
      <c r="B12" t="s">
        <v>215</v>
      </c>
      <c r="C12" t="s">
        <v>357</v>
      </c>
      <c r="D12" t="s">
        <v>216</v>
      </c>
      <c r="E12">
        <v>8.3999999999999986</v>
      </c>
      <c r="F12" t="s">
        <v>217</v>
      </c>
    </row>
    <row r="13" spans="1:6" x14ac:dyDescent="0.25">
      <c r="A13" s="64">
        <v>45630</v>
      </c>
      <c r="B13" t="s">
        <v>215</v>
      </c>
      <c r="C13" t="s">
        <v>357</v>
      </c>
      <c r="D13" t="s">
        <v>216</v>
      </c>
      <c r="E13">
        <v>11.2</v>
      </c>
      <c r="F13" t="s">
        <v>217</v>
      </c>
    </row>
    <row r="14" spans="1:6" x14ac:dyDescent="0.25">
      <c r="A14" s="64">
        <v>45629</v>
      </c>
      <c r="B14" t="s">
        <v>218</v>
      </c>
      <c r="C14" t="s">
        <v>357</v>
      </c>
      <c r="D14" t="s">
        <v>219</v>
      </c>
      <c r="E14">
        <v>2.8</v>
      </c>
      <c r="F14" t="s">
        <v>371</v>
      </c>
    </row>
    <row r="15" spans="1:6" x14ac:dyDescent="0.25">
      <c r="A15" s="64">
        <v>45631</v>
      </c>
      <c r="B15" t="s">
        <v>218</v>
      </c>
      <c r="C15" t="s">
        <v>357</v>
      </c>
      <c r="D15" t="s">
        <v>219</v>
      </c>
      <c r="E15">
        <v>8.3999999999999986</v>
      </c>
      <c r="F15" t="s">
        <v>371</v>
      </c>
    </row>
    <row r="16" spans="1:6" x14ac:dyDescent="0.25">
      <c r="A16" s="64">
        <v>45630</v>
      </c>
      <c r="B16" t="s">
        <v>222</v>
      </c>
      <c r="C16" t="s">
        <v>357</v>
      </c>
      <c r="D16" t="s">
        <v>223</v>
      </c>
      <c r="E16">
        <v>5.6</v>
      </c>
      <c r="F16" t="s">
        <v>224</v>
      </c>
    </row>
    <row r="17" spans="1:6" x14ac:dyDescent="0.25">
      <c r="A17" s="64">
        <v>45631</v>
      </c>
      <c r="B17" t="s">
        <v>222</v>
      </c>
      <c r="C17" t="s">
        <v>357</v>
      </c>
      <c r="D17" t="s">
        <v>223</v>
      </c>
      <c r="E17">
        <v>8.3999999999999986</v>
      </c>
      <c r="F17" t="s">
        <v>224</v>
      </c>
    </row>
    <row r="18" spans="1:6" x14ac:dyDescent="0.25">
      <c r="A18" s="64">
        <v>45631</v>
      </c>
      <c r="B18" t="s">
        <v>206</v>
      </c>
      <c r="C18" t="s">
        <v>357</v>
      </c>
      <c r="D18" t="s">
        <v>207</v>
      </c>
      <c r="E18">
        <v>2.8</v>
      </c>
      <c r="F18" t="s">
        <v>208</v>
      </c>
    </row>
    <row r="19" spans="1:6" x14ac:dyDescent="0.25">
      <c r="A19" s="64">
        <v>45630</v>
      </c>
      <c r="B19" t="s">
        <v>225</v>
      </c>
      <c r="C19" t="s">
        <v>357</v>
      </c>
      <c r="D19" t="s">
        <v>226</v>
      </c>
      <c r="E19">
        <v>8.3999999999999986</v>
      </c>
      <c r="F19" t="s">
        <v>227</v>
      </c>
    </row>
    <row r="20" spans="1:6" x14ac:dyDescent="0.25">
      <c r="A20" s="64">
        <v>45632</v>
      </c>
      <c r="B20" t="s">
        <v>204</v>
      </c>
      <c r="C20" t="s">
        <v>357</v>
      </c>
      <c r="D20" t="s">
        <v>205</v>
      </c>
      <c r="E20">
        <v>2.8</v>
      </c>
      <c r="F20" t="s">
        <v>112</v>
      </c>
    </row>
    <row r="21" spans="1:6" x14ac:dyDescent="0.25">
      <c r="A21" s="64">
        <v>45632</v>
      </c>
      <c r="B21" t="s">
        <v>225</v>
      </c>
      <c r="C21" t="s">
        <v>357</v>
      </c>
      <c r="D21" t="s">
        <v>226</v>
      </c>
      <c r="E21">
        <v>5.6</v>
      </c>
      <c r="F21" t="s">
        <v>227</v>
      </c>
    </row>
    <row r="22" spans="1:6" x14ac:dyDescent="0.25">
      <c r="A22" s="64">
        <v>45632</v>
      </c>
      <c r="B22" t="s">
        <v>222</v>
      </c>
      <c r="C22" t="s">
        <v>357</v>
      </c>
      <c r="D22" t="s">
        <v>223</v>
      </c>
      <c r="E22">
        <v>8.3999999999999986</v>
      </c>
      <c r="F22" t="s">
        <v>224</v>
      </c>
    </row>
    <row r="23" spans="1:6" x14ac:dyDescent="0.25">
      <c r="A23" s="64">
        <v>45632</v>
      </c>
      <c r="B23" t="s">
        <v>218</v>
      </c>
      <c r="C23" t="s">
        <v>357</v>
      </c>
      <c r="D23" t="s">
        <v>219</v>
      </c>
      <c r="E23">
        <v>5.6</v>
      </c>
      <c r="F23" t="s">
        <v>371</v>
      </c>
    </row>
    <row r="24" spans="1:6" x14ac:dyDescent="0.25">
      <c r="A24" s="64">
        <v>45632</v>
      </c>
      <c r="B24" t="s">
        <v>215</v>
      </c>
      <c r="C24" t="s">
        <v>357</v>
      </c>
      <c r="D24" t="s">
        <v>216</v>
      </c>
      <c r="E24">
        <v>2.8</v>
      </c>
      <c r="F24" t="s">
        <v>217</v>
      </c>
    </row>
    <row r="25" spans="1:6" x14ac:dyDescent="0.25">
      <c r="A25" s="64">
        <v>45635</v>
      </c>
      <c r="B25" t="s">
        <v>269</v>
      </c>
      <c r="C25" t="s">
        <v>357</v>
      </c>
      <c r="D25" t="s">
        <v>358</v>
      </c>
      <c r="E25">
        <v>8.3999999999999986</v>
      </c>
      <c r="F25" t="s">
        <v>372</v>
      </c>
    </row>
    <row r="26" spans="1:6" x14ac:dyDescent="0.25">
      <c r="A26" s="64">
        <v>45635</v>
      </c>
      <c r="B26" t="s">
        <v>204</v>
      </c>
      <c r="C26" t="s">
        <v>357</v>
      </c>
      <c r="D26" t="s">
        <v>205</v>
      </c>
      <c r="E26">
        <v>2.8</v>
      </c>
      <c r="F26" t="s">
        <v>112</v>
      </c>
    </row>
    <row r="27" spans="1:6" x14ac:dyDescent="0.25">
      <c r="A27" s="64">
        <v>45635</v>
      </c>
      <c r="B27" t="s">
        <v>266</v>
      </c>
      <c r="C27" t="s">
        <v>357</v>
      </c>
      <c r="D27" t="s">
        <v>359</v>
      </c>
      <c r="E27">
        <v>2.8</v>
      </c>
      <c r="F27" t="s">
        <v>360</v>
      </c>
    </row>
    <row r="28" spans="1:6" x14ac:dyDescent="0.25">
      <c r="A28" s="64">
        <v>45635</v>
      </c>
      <c r="B28" t="s">
        <v>218</v>
      </c>
      <c r="C28" t="s">
        <v>357</v>
      </c>
      <c r="D28" t="s">
        <v>219</v>
      </c>
      <c r="E28">
        <v>2.8</v>
      </c>
      <c r="F28" t="s">
        <v>371</v>
      </c>
    </row>
    <row r="29" spans="1:6" x14ac:dyDescent="0.25">
      <c r="A29" s="64">
        <v>45635</v>
      </c>
      <c r="B29" t="s">
        <v>206</v>
      </c>
      <c r="C29" t="s">
        <v>357</v>
      </c>
      <c r="D29" t="s">
        <v>207</v>
      </c>
      <c r="E29">
        <v>5.6</v>
      </c>
      <c r="F29" t="s">
        <v>208</v>
      </c>
    </row>
    <row r="30" spans="1:6" x14ac:dyDescent="0.25">
      <c r="A30" s="64">
        <v>45635</v>
      </c>
      <c r="B30" t="s">
        <v>222</v>
      </c>
      <c r="C30" t="s">
        <v>357</v>
      </c>
      <c r="D30" t="s">
        <v>223</v>
      </c>
      <c r="E30">
        <v>5.6</v>
      </c>
      <c r="F30" t="s">
        <v>224</v>
      </c>
    </row>
    <row r="31" spans="1:6" x14ac:dyDescent="0.25">
      <c r="A31" s="64">
        <v>45636</v>
      </c>
      <c r="B31" t="s">
        <v>204</v>
      </c>
      <c r="C31" t="s">
        <v>357</v>
      </c>
      <c r="D31" t="s">
        <v>205</v>
      </c>
      <c r="E31">
        <v>5.6</v>
      </c>
      <c r="F31" t="s">
        <v>112</v>
      </c>
    </row>
    <row r="32" spans="1:6" x14ac:dyDescent="0.25">
      <c r="A32" s="64">
        <v>45636</v>
      </c>
      <c r="B32" t="s">
        <v>269</v>
      </c>
      <c r="C32" t="s">
        <v>357</v>
      </c>
      <c r="D32" t="s">
        <v>358</v>
      </c>
      <c r="E32">
        <v>2.8</v>
      </c>
      <c r="F32" t="s">
        <v>372</v>
      </c>
    </row>
    <row r="33" spans="1:6" x14ac:dyDescent="0.25">
      <c r="A33" s="64">
        <v>45636</v>
      </c>
      <c r="B33" t="s">
        <v>212</v>
      </c>
      <c r="C33" t="s">
        <v>357</v>
      </c>
      <c r="D33" t="s">
        <v>213</v>
      </c>
      <c r="E33">
        <v>2.8</v>
      </c>
      <c r="F33" t="s">
        <v>214</v>
      </c>
    </row>
    <row r="34" spans="1:6" x14ac:dyDescent="0.25">
      <c r="A34" s="64">
        <v>45636</v>
      </c>
      <c r="B34" t="s">
        <v>222</v>
      </c>
      <c r="C34" t="s">
        <v>357</v>
      </c>
      <c r="D34" t="s">
        <v>223</v>
      </c>
      <c r="E34">
        <v>2.8</v>
      </c>
      <c r="F34" t="s">
        <v>224</v>
      </c>
    </row>
    <row r="35" spans="1:6" x14ac:dyDescent="0.25">
      <c r="A35" s="64">
        <v>45636</v>
      </c>
      <c r="B35" t="s">
        <v>266</v>
      </c>
      <c r="C35" t="s">
        <v>357</v>
      </c>
      <c r="D35" t="s">
        <v>359</v>
      </c>
      <c r="E35">
        <v>5.6</v>
      </c>
      <c r="F35" t="s">
        <v>360</v>
      </c>
    </row>
    <row r="36" spans="1:6" x14ac:dyDescent="0.25">
      <c r="A36" s="64">
        <v>45636</v>
      </c>
      <c r="B36" t="s">
        <v>206</v>
      </c>
      <c r="C36" t="s">
        <v>357</v>
      </c>
      <c r="D36" t="s">
        <v>207</v>
      </c>
      <c r="E36">
        <v>11.2</v>
      </c>
      <c r="F36" t="s">
        <v>208</v>
      </c>
    </row>
    <row r="37" spans="1:6" x14ac:dyDescent="0.25">
      <c r="A37" s="64">
        <v>45636</v>
      </c>
      <c r="B37" t="s">
        <v>215</v>
      </c>
      <c r="C37" t="s">
        <v>357</v>
      </c>
      <c r="D37" t="s">
        <v>216</v>
      </c>
      <c r="E37">
        <v>5.6</v>
      </c>
      <c r="F37" t="s">
        <v>217</v>
      </c>
    </row>
    <row r="38" spans="1:6" x14ac:dyDescent="0.25">
      <c r="A38" s="64">
        <v>45636</v>
      </c>
      <c r="B38" t="s">
        <v>218</v>
      </c>
      <c r="C38" t="s">
        <v>357</v>
      </c>
      <c r="D38" t="s">
        <v>219</v>
      </c>
      <c r="E38">
        <v>2.8</v>
      </c>
      <c r="F38" t="s">
        <v>371</v>
      </c>
    </row>
    <row r="39" spans="1:6" x14ac:dyDescent="0.25">
      <c r="A39" s="64">
        <v>45636</v>
      </c>
      <c r="B39" t="s">
        <v>209</v>
      </c>
      <c r="C39" t="s">
        <v>357</v>
      </c>
      <c r="D39" t="s">
        <v>210</v>
      </c>
      <c r="E39">
        <v>2.8</v>
      </c>
      <c r="F39" t="s">
        <v>211</v>
      </c>
    </row>
    <row r="40" spans="1:6" x14ac:dyDescent="0.25">
      <c r="A40" s="64">
        <v>45637</v>
      </c>
      <c r="B40" t="s">
        <v>269</v>
      </c>
      <c r="C40" t="s">
        <v>357</v>
      </c>
      <c r="D40" t="s">
        <v>358</v>
      </c>
      <c r="E40">
        <v>5.6</v>
      </c>
      <c r="F40" t="s">
        <v>372</v>
      </c>
    </row>
    <row r="41" spans="1:6" x14ac:dyDescent="0.25">
      <c r="A41" s="64">
        <v>45637</v>
      </c>
      <c r="B41" t="s">
        <v>204</v>
      </c>
      <c r="C41" t="s">
        <v>357</v>
      </c>
      <c r="D41" t="s">
        <v>205</v>
      </c>
      <c r="E41">
        <v>2.8</v>
      </c>
      <c r="F41" t="s">
        <v>112</v>
      </c>
    </row>
    <row r="42" spans="1:6" x14ac:dyDescent="0.25">
      <c r="A42" s="64">
        <v>45637</v>
      </c>
      <c r="B42" t="s">
        <v>222</v>
      </c>
      <c r="C42" t="s">
        <v>357</v>
      </c>
      <c r="D42" t="s">
        <v>223</v>
      </c>
      <c r="E42">
        <v>5.6</v>
      </c>
      <c r="F42" t="s">
        <v>224</v>
      </c>
    </row>
    <row r="43" spans="1:6" x14ac:dyDescent="0.25">
      <c r="A43" s="64">
        <v>45637</v>
      </c>
      <c r="B43" t="s">
        <v>225</v>
      </c>
      <c r="C43" t="s">
        <v>357</v>
      </c>
      <c r="D43" t="s">
        <v>226</v>
      </c>
      <c r="E43">
        <v>5.6</v>
      </c>
      <c r="F43" t="s">
        <v>227</v>
      </c>
    </row>
    <row r="44" spans="1:6" x14ac:dyDescent="0.25">
      <c r="A44" s="64">
        <v>45637</v>
      </c>
      <c r="B44" t="s">
        <v>212</v>
      </c>
      <c r="C44" t="s">
        <v>357</v>
      </c>
      <c r="D44" t="s">
        <v>213</v>
      </c>
      <c r="E44">
        <v>2.8</v>
      </c>
      <c r="F44" t="s">
        <v>214</v>
      </c>
    </row>
    <row r="45" spans="1:6" x14ac:dyDescent="0.25">
      <c r="A45" s="64">
        <v>45637</v>
      </c>
      <c r="B45" t="s">
        <v>206</v>
      </c>
      <c r="C45" t="s">
        <v>357</v>
      </c>
      <c r="D45" t="s">
        <v>207</v>
      </c>
      <c r="E45">
        <v>2.8</v>
      </c>
      <c r="F45" t="s">
        <v>208</v>
      </c>
    </row>
    <row r="46" spans="1:6" x14ac:dyDescent="0.25">
      <c r="A46" s="64">
        <v>45637</v>
      </c>
      <c r="B46" t="s">
        <v>266</v>
      </c>
      <c r="C46" t="s">
        <v>357</v>
      </c>
      <c r="D46" t="s">
        <v>359</v>
      </c>
      <c r="E46">
        <v>5.6</v>
      </c>
      <c r="F46" t="s">
        <v>360</v>
      </c>
    </row>
    <row r="47" spans="1:6" x14ac:dyDescent="0.25">
      <c r="A47" s="64">
        <v>45637</v>
      </c>
      <c r="B47" t="s">
        <v>209</v>
      </c>
      <c r="C47" t="s">
        <v>357</v>
      </c>
      <c r="D47" t="s">
        <v>210</v>
      </c>
      <c r="E47">
        <v>2.8</v>
      </c>
      <c r="F47" t="s">
        <v>211</v>
      </c>
    </row>
    <row r="48" spans="1:6" x14ac:dyDescent="0.25">
      <c r="A48" s="64">
        <v>45638</v>
      </c>
      <c r="B48" t="s">
        <v>204</v>
      </c>
      <c r="C48" t="s">
        <v>357</v>
      </c>
      <c r="D48" t="s">
        <v>205</v>
      </c>
      <c r="E48">
        <v>2.8</v>
      </c>
      <c r="F48" t="s">
        <v>112</v>
      </c>
    </row>
    <row r="49" spans="1:6" x14ac:dyDescent="0.25">
      <c r="A49" s="64">
        <v>45638</v>
      </c>
      <c r="B49" t="s">
        <v>269</v>
      </c>
      <c r="C49" t="s">
        <v>357</v>
      </c>
      <c r="D49" t="s">
        <v>358</v>
      </c>
      <c r="E49">
        <v>5.6</v>
      </c>
      <c r="F49" t="s">
        <v>372</v>
      </c>
    </row>
    <row r="50" spans="1:6" x14ac:dyDescent="0.25">
      <c r="A50" s="64">
        <v>45638</v>
      </c>
      <c r="B50" t="s">
        <v>266</v>
      </c>
      <c r="C50" t="s">
        <v>357</v>
      </c>
      <c r="D50" t="s">
        <v>359</v>
      </c>
      <c r="E50">
        <v>2.8</v>
      </c>
      <c r="F50" t="s">
        <v>360</v>
      </c>
    </row>
    <row r="51" spans="1:6" x14ac:dyDescent="0.25">
      <c r="A51" s="64">
        <v>45638</v>
      </c>
      <c r="B51" t="s">
        <v>215</v>
      </c>
      <c r="C51" t="s">
        <v>357</v>
      </c>
      <c r="D51" t="s">
        <v>216</v>
      </c>
      <c r="E51">
        <v>2.8</v>
      </c>
      <c r="F51" t="s">
        <v>217</v>
      </c>
    </row>
    <row r="52" spans="1:6" x14ac:dyDescent="0.25">
      <c r="A52" s="64">
        <v>45638</v>
      </c>
      <c r="B52" t="s">
        <v>206</v>
      </c>
      <c r="C52" t="s">
        <v>357</v>
      </c>
      <c r="D52" t="s">
        <v>207</v>
      </c>
      <c r="E52">
        <v>8.3999999999999986</v>
      </c>
      <c r="F52" t="s">
        <v>208</v>
      </c>
    </row>
    <row r="53" spans="1:6" x14ac:dyDescent="0.25">
      <c r="A53" s="64">
        <v>45638</v>
      </c>
      <c r="B53" t="s">
        <v>218</v>
      </c>
      <c r="C53" t="s">
        <v>357</v>
      </c>
      <c r="D53" t="s">
        <v>219</v>
      </c>
      <c r="E53">
        <v>5.6</v>
      </c>
      <c r="F53" t="s">
        <v>371</v>
      </c>
    </row>
    <row r="54" spans="1:6" x14ac:dyDescent="0.25">
      <c r="A54" s="64">
        <v>45638</v>
      </c>
      <c r="B54" t="s">
        <v>212</v>
      </c>
      <c r="C54" t="s">
        <v>357</v>
      </c>
      <c r="D54" t="s">
        <v>213</v>
      </c>
      <c r="E54">
        <v>2.8</v>
      </c>
      <c r="F54" t="s">
        <v>214</v>
      </c>
    </row>
    <row r="55" spans="1:6" x14ac:dyDescent="0.25">
      <c r="A55" s="64">
        <v>45639</v>
      </c>
      <c r="B55" t="s">
        <v>269</v>
      </c>
      <c r="C55" t="s">
        <v>357</v>
      </c>
      <c r="D55" t="s">
        <v>358</v>
      </c>
      <c r="E55">
        <v>5.6</v>
      </c>
      <c r="F55" t="s">
        <v>372</v>
      </c>
    </row>
    <row r="56" spans="1:6" x14ac:dyDescent="0.25">
      <c r="A56" s="64">
        <v>45639</v>
      </c>
      <c r="B56" t="s">
        <v>212</v>
      </c>
      <c r="C56" t="s">
        <v>357</v>
      </c>
      <c r="D56" t="s">
        <v>213</v>
      </c>
      <c r="E56">
        <v>5.6</v>
      </c>
      <c r="F56" t="s">
        <v>214</v>
      </c>
    </row>
    <row r="57" spans="1:6" x14ac:dyDescent="0.25">
      <c r="A57" s="64">
        <v>45639</v>
      </c>
      <c r="B57" t="s">
        <v>222</v>
      </c>
      <c r="C57" t="s">
        <v>357</v>
      </c>
      <c r="D57" t="s">
        <v>223</v>
      </c>
      <c r="E57">
        <v>2.8</v>
      </c>
      <c r="F57" t="s">
        <v>224</v>
      </c>
    </row>
    <row r="58" spans="1:6" x14ac:dyDescent="0.25">
      <c r="A58" s="64">
        <v>45639</v>
      </c>
      <c r="B58" t="s">
        <v>218</v>
      </c>
      <c r="C58" t="s">
        <v>357</v>
      </c>
      <c r="D58" t="s">
        <v>219</v>
      </c>
      <c r="E58">
        <v>5.6</v>
      </c>
      <c r="F58" t="s">
        <v>371</v>
      </c>
    </row>
    <row r="59" spans="1:6" x14ac:dyDescent="0.25">
      <c r="A59" s="64">
        <v>45639</v>
      </c>
      <c r="B59" t="s">
        <v>209</v>
      </c>
      <c r="C59" t="s">
        <v>357</v>
      </c>
      <c r="D59" t="s">
        <v>210</v>
      </c>
      <c r="E59">
        <v>2.8</v>
      </c>
      <c r="F59" t="s">
        <v>211</v>
      </c>
    </row>
    <row r="60" spans="1:6" x14ac:dyDescent="0.25">
      <c r="A60" s="64">
        <v>45639</v>
      </c>
      <c r="B60" t="s">
        <v>225</v>
      </c>
      <c r="C60" t="s">
        <v>357</v>
      </c>
      <c r="D60" t="s">
        <v>226</v>
      </c>
      <c r="E60">
        <v>2.8</v>
      </c>
      <c r="F60" t="s">
        <v>227</v>
      </c>
    </row>
    <row r="61" spans="1:6" x14ac:dyDescent="0.25">
      <c r="A61" s="64">
        <v>45639</v>
      </c>
      <c r="B61" t="s">
        <v>266</v>
      </c>
      <c r="C61" t="s">
        <v>357</v>
      </c>
      <c r="D61" t="s">
        <v>359</v>
      </c>
      <c r="E61">
        <v>5.6</v>
      </c>
      <c r="F61" t="s">
        <v>360</v>
      </c>
    </row>
    <row r="62" spans="1:6" x14ac:dyDescent="0.25">
      <c r="A62" s="64">
        <v>45640</v>
      </c>
      <c r="B62" t="s">
        <v>206</v>
      </c>
      <c r="C62" t="s">
        <v>357</v>
      </c>
      <c r="D62" t="s">
        <v>207</v>
      </c>
      <c r="E62">
        <v>2.8</v>
      </c>
      <c r="F62" t="s">
        <v>208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FF749-C548-41A9-8D08-0F8CC4401B3A}">
  <dimension ref="A3:B17"/>
  <sheetViews>
    <sheetView workbookViewId="0">
      <selection activeCell="B7" sqref="B7"/>
    </sheetView>
  </sheetViews>
  <sheetFormatPr defaultRowHeight="15" x14ac:dyDescent="0.25"/>
  <cols>
    <col min="1" max="1" width="13.140625" bestFit="1" customWidth="1"/>
    <col min="2" max="2" width="26.28515625" bestFit="1" customWidth="1"/>
  </cols>
  <sheetData>
    <row r="3" spans="1:2" x14ac:dyDescent="0.25">
      <c r="A3" s="90" t="s">
        <v>261</v>
      </c>
      <c r="B3" t="s">
        <v>263</v>
      </c>
    </row>
    <row r="4" spans="1:2" x14ac:dyDescent="0.25">
      <c r="A4" s="190">
        <v>45628</v>
      </c>
      <c r="B4">
        <v>11.2</v>
      </c>
    </row>
    <row r="5" spans="1:2" x14ac:dyDescent="0.25">
      <c r="A5" s="190">
        <v>45629</v>
      </c>
      <c r="B5">
        <v>19.599999999999998</v>
      </c>
    </row>
    <row r="6" spans="1:2" x14ac:dyDescent="0.25">
      <c r="A6" s="190">
        <v>45630</v>
      </c>
      <c r="B6">
        <v>30.8</v>
      </c>
    </row>
    <row r="7" spans="1:2" x14ac:dyDescent="0.25">
      <c r="A7" s="190">
        <v>45631</v>
      </c>
      <c r="B7">
        <v>36.4</v>
      </c>
    </row>
    <row r="8" spans="1:2" x14ac:dyDescent="0.25">
      <c r="A8" s="190">
        <v>45632</v>
      </c>
      <c r="B8">
        <v>28</v>
      </c>
    </row>
    <row r="9" spans="1:2" x14ac:dyDescent="0.25">
      <c r="A9" s="190">
        <v>45634</v>
      </c>
      <c r="B9">
        <v>0</v>
      </c>
    </row>
    <row r="10" spans="1:2" x14ac:dyDescent="0.25">
      <c r="A10" s="190">
        <v>45635</v>
      </c>
      <c r="B10">
        <v>27.999999999999996</v>
      </c>
    </row>
    <row r="11" spans="1:2" x14ac:dyDescent="0.25">
      <c r="A11" s="190">
        <v>45636</v>
      </c>
      <c r="B11">
        <v>42</v>
      </c>
    </row>
    <row r="12" spans="1:2" x14ac:dyDescent="0.25">
      <c r="A12" s="190">
        <v>45637</v>
      </c>
      <c r="B12">
        <v>33.599999999999994</v>
      </c>
    </row>
    <row r="13" spans="1:2" x14ac:dyDescent="0.25">
      <c r="A13" s="190">
        <v>45638</v>
      </c>
      <c r="B13">
        <v>30.799999999999997</v>
      </c>
    </row>
    <row r="14" spans="1:2" x14ac:dyDescent="0.25">
      <c r="A14" s="190">
        <v>45639</v>
      </c>
      <c r="B14">
        <v>30.799999999999997</v>
      </c>
    </row>
    <row r="15" spans="1:2" x14ac:dyDescent="0.25">
      <c r="A15" s="190">
        <v>45640</v>
      </c>
      <c r="B15">
        <v>2.8</v>
      </c>
    </row>
    <row r="16" spans="1:2" x14ac:dyDescent="0.25">
      <c r="A16" s="190">
        <v>45641</v>
      </c>
      <c r="B16">
        <v>0</v>
      </c>
    </row>
    <row r="17" spans="1:2" x14ac:dyDescent="0.25">
      <c r="A17" s="190" t="s">
        <v>262</v>
      </c>
      <c r="B17">
        <v>294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711F8-03A5-4E4C-AF8B-5BE33EB0F6CC}">
  <sheetPr codeName="Sheet2">
    <tabColor theme="4" tint="-0.249977111117893"/>
  </sheetPr>
  <dimension ref="A1:M106"/>
  <sheetViews>
    <sheetView showGridLines="0" tabSelected="1" workbookViewId="0">
      <selection activeCell="J110" sqref="J110"/>
    </sheetView>
  </sheetViews>
  <sheetFormatPr defaultRowHeight="15" x14ac:dyDescent="0.25"/>
  <cols>
    <col min="1" max="1" width="10.7109375" bestFit="1" customWidth="1"/>
    <col min="2" max="2" width="15.140625" bestFit="1" customWidth="1"/>
    <col min="3" max="3" width="7.5703125" bestFit="1" customWidth="1"/>
    <col min="4" max="4" width="11.28515625" bestFit="1" customWidth="1"/>
    <col min="5" max="6" width="8.42578125" bestFit="1" customWidth="1"/>
    <col min="7" max="7" width="26" bestFit="1" customWidth="1"/>
    <col min="8" max="8" width="8.28515625" bestFit="1" customWidth="1"/>
    <col min="9" max="9" width="31.28515625" bestFit="1" customWidth="1"/>
    <col min="10" max="10" width="15.85546875" bestFit="1" customWidth="1"/>
    <col min="11" max="11" width="9.85546875" bestFit="1" customWidth="1"/>
    <col min="12" max="12" width="21.7109375" bestFit="1" customWidth="1"/>
    <col min="13" max="13" width="25.28515625" bestFit="1" customWidth="1"/>
    <col min="14" max="14" width="20.42578125" bestFit="1" customWidth="1"/>
    <col min="15" max="15" width="20.42578125" customWidth="1"/>
    <col min="16" max="16" width="24.5703125" customWidth="1"/>
    <col min="17" max="17" width="6.28515625" bestFit="1" customWidth="1"/>
    <col min="18" max="18" width="8.7109375" bestFit="1" customWidth="1"/>
    <col min="19" max="19" width="7.42578125" bestFit="1" customWidth="1"/>
    <col min="20" max="20" width="7.28515625" bestFit="1" customWidth="1"/>
    <col min="21" max="21" width="5.5703125" bestFit="1" customWidth="1"/>
    <col min="22" max="22" width="8.7109375" bestFit="1" customWidth="1"/>
    <col min="23" max="23" width="9.140625" bestFit="1" customWidth="1"/>
    <col min="24" max="24" width="8.140625" bestFit="1" customWidth="1"/>
    <col min="25" max="25" width="9.28515625" bestFit="1" customWidth="1"/>
    <col min="26" max="26" width="7" bestFit="1" customWidth="1"/>
    <col min="27" max="27" width="6" bestFit="1" customWidth="1"/>
    <col min="28" max="28" width="8" bestFit="1" customWidth="1"/>
    <col min="29" max="29" width="8.5703125" bestFit="1" customWidth="1"/>
    <col min="30" max="30" width="10.7109375" bestFit="1" customWidth="1"/>
    <col min="31" max="31" width="8" bestFit="1" customWidth="1"/>
    <col min="32" max="32" width="11.28515625" bestFit="1" customWidth="1"/>
    <col min="33" max="33" width="8.85546875" bestFit="1" customWidth="1"/>
    <col min="34" max="34" width="7.7109375" bestFit="1" customWidth="1"/>
    <col min="35" max="35" width="7" bestFit="1" customWidth="1"/>
    <col min="36" max="36" width="8" bestFit="1" customWidth="1"/>
    <col min="37" max="39" width="12" bestFit="1" customWidth="1"/>
    <col min="40" max="41" width="12" customWidth="1"/>
  </cols>
  <sheetData>
    <row r="1" spans="1:13" x14ac:dyDescent="0.25">
      <c r="A1" t="s">
        <v>1</v>
      </c>
      <c r="B1" t="s">
        <v>105</v>
      </c>
      <c r="C1" t="s">
        <v>26</v>
      </c>
      <c r="D1" t="s">
        <v>228</v>
      </c>
      <c r="E1" t="s">
        <v>229</v>
      </c>
      <c r="F1" t="s">
        <v>230</v>
      </c>
      <c r="G1" t="s">
        <v>86</v>
      </c>
      <c r="H1" t="s">
        <v>231</v>
      </c>
      <c r="I1" t="s">
        <v>102</v>
      </c>
      <c r="J1" t="s">
        <v>89</v>
      </c>
      <c r="K1" t="s">
        <v>90</v>
      </c>
      <c r="L1" t="s">
        <v>91</v>
      </c>
      <c r="M1" t="s">
        <v>103</v>
      </c>
    </row>
    <row r="2" spans="1:13" x14ac:dyDescent="0.25">
      <c r="A2" s="64">
        <v>45628</v>
      </c>
      <c r="B2" t="s">
        <v>232</v>
      </c>
      <c r="C2">
        <v>13</v>
      </c>
      <c r="D2" t="s">
        <v>204</v>
      </c>
      <c r="E2">
        <v>0.5</v>
      </c>
      <c r="F2">
        <v>10.57</v>
      </c>
      <c r="G2">
        <v>10.07</v>
      </c>
      <c r="H2">
        <v>75.7</v>
      </c>
      <c r="I2" t="s">
        <v>112</v>
      </c>
      <c r="J2">
        <v>21.5</v>
      </c>
      <c r="K2">
        <v>279.5</v>
      </c>
      <c r="L2">
        <v>5.6</v>
      </c>
      <c r="M2" t="s">
        <v>205</v>
      </c>
    </row>
    <row r="3" spans="1:13" x14ac:dyDescent="0.25">
      <c r="A3" s="64">
        <v>45629</v>
      </c>
      <c r="B3" t="s">
        <v>232</v>
      </c>
      <c r="C3">
        <v>6</v>
      </c>
      <c r="D3" t="s">
        <v>204</v>
      </c>
      <c r="E3">
        <v>0.5</v>
      </c>
      <c r="F3">
        <v>10</v>
      </c>
      <c r="G3">
        <v>9.5</v>
      </c>
      <c r="H3">
        <v>94.8</v>
      </c>
      <c r="I3" t="s">
        <v>112</v>
      </c>
      <c r="J3">
        <v>21.5</v>
      </c>
      <c r="K3">
        <v>129</v>
      </c>
      <c r="L3">
        <v>2.8</v>
      </c>
      <c r="M3" t="s">
        <v>205</v>
      </c>
    </row>
    <row r="4" spans="1:13" x14ac:dyDescent="0.25">
      <c r="A4" s="64">
        <v>45630</v>
      </c>
      <c r="B4" t="s">
        <v>232</v>
      </c>
      <c r="C4">
        <v>14</v>
      </c>
      <c r="D4" t="s">
        <v>204</v>
      </c>
      <c r="E4">
        <v>0.5</v>
      </c>
      <c r="F4">
        <v>10.48</v>
      </c>
      <c r="G4">
        <v>9.98</v>
      </c>
      <c r="H4">
        <v>100.9</v>
      </c>
      <c r="I4" t="s">
        <v>112</v>
      </c>
      <c r="J4">
        <v>21.5</v>
      </c>
      <c r="K4">
        <v>301</v>
      </c>
      <c r="L4">
        <v>2.8</v>
      </c>
      <c r="M4" t="s">
        <v>205</v>
      </c>
    </row>
    <row r="5" spans="1:13" x14ac:dyDescent="0.25">
      <c r="A5" s="64">
        <v>45631</v>
      </c>
      <c r="B5" t="s">
        <v>232</v>
      </c>
      <c r="C5">
        <v>15</v>
      </c>
      <c r="D5" t="s">
        <v>204</v>
      </c>
      <c r="E5">
        <v>0.5</v>
      </c>
      <c r="F5">
        <v>10.75</v>
      </c>
      <c r="G5">
        <v>10.25</v>
      </c>
      <c r="H5">
        <v>122.1</v>
      </c>
      <c r="I5" t="s">
        <v>112</v>
      </c>
      <c r="J5">
        <v>21.5</v>
      </c>
      <c r="K5">
        <v>322.5</v>
      </c>
      <c r="L5">
        <v>14</v>
      </c>
      <c r="M5" t="s">
        <v>205</v>
      </c>
    </row>
    <row r="6" spans="1:13" x14ac:dyDescent="0.25">
      <c r="A6" s="64">
        <v>45632</v>
      </c>
      <c r="B6" t="s">
        <v>232</v>
      </c>
      <c r="C6">
        <v>12</v>
      </c>
      <c r="D6" t="s">
        <v>204</v>
      </c>
      <c r="E6">
        <v>0.5</v>
      </c>
      <c r="F6">
        <v>10.17</v>
      </c>
      <c r="G6">
        <v>9.67</v>
      </c>
      <c r="H6">
        <v>106.2</v>
      </c>
      <c r="I6" t="s">
        <v>112</v>
      </c>
      <c r="J6">
        <v>21.5</v>
      </c>
      <c r="K6">
        <v>258</v>
      </c>
      <c r="L6">
        <v>2.8</v>
      </c>
      <c r="M6" t="s">
        <v>205</v>
      </c>
    </row>
    <row r="7" spans="1:13" x14ac:dyDescent="0.25">
      <c r="A7" s="64">
        <v>45635</v>
      </c>
      <c r="B7" t="s">
        <v>232</v>
      </c>
      <c r="C7">
        <v>12</v>
      </c>
      <c r="D7" t="s">
        <v>204</v>
      </c>
      <c r="E7">
        <v>0.5</v>
      </c>
      <c r="F7">
        <v>9.9499999999999993</v>
      </c>
      <c r="G7">
        <v>9.4499999999999993</v>
      </c>
      <c r="H7">
        <v>103</v>
      </c>
      <c r="I7" t="s">
        <v>112</v>
      </c>
      <c r="J7">
        <v>21.5</v>
      </c>
      <c r="K7">
        <v>258</v>
      </c>
      <c r="L7">
        <v>2.8</v>
      </c>
      <c r="M7" t="s">
        <v>205</v>
      </c>
    </row>
    <row r="8" spans="1:13" x14ac:dyDescent="0.25">
      <c r="A8" s="64">
        <v>45636</v>
      </c>
      <c r="B8" t="s">
        <v>232</v>
      </c>
      <c r="C8">
        <v>18</v>
      </c>
      <c r="D8" t="s">
        <v>204</v>
      </c>
      <c r="E8">
        <v>0.5</v>
      </c>
      <c r="F8">
        <v>10.25</v>
      </c>
      <c r="G8">
        <v>9.75</v>
      </c>
      <c r="H8">
        <v>147.80000000000001</v>
      </c>
      <c r="I8" t="s">
        <v>112</v>
      </c>
      <c r="J8">
        <v>21.5</v>
      </c>
      <c r="K8">
        <v>387</v>
      </c>
      <c r="L8">
        <v>5.6</v>
      </c>
      <c r="M8" t="s">
        <v>205</v>
      </c>
    </row>
    <row r="9" spans="1:13" x14ac:dyDescent="0.25">
      <c r="A9" s="64">
        <v>45637</v>
      </c>
      <c r="B9" t="s">
        <v>232</v>
      </c>
      <c r="C9">
        <v>15</v>
      </c>
      <c r="D9" t="s">
        <v>204</v>
      </c>
      <c r="E9">
        <v>0.5</v>
      </c>
      <c r="F9">
        <v>10.7</v>
      </c>
      <c r="G9">
        <v>10.199999999999999</v>
      </c>
      <c r="H9">
        <v>135.4</v>
      </c>
      <c r="I9" t="s">
        <v>112</v>
      </c>
      <c r="J9">
        <v>21.5</v>
      </c>
      <c r="K9">
        <v>322.5</v>
      </c>
      <c r="L9">
        <v>2.8</v>
      </c>
      <c r="M9" t="s">
        <v>205</v>
      </c>
    </row>
    <row r="10" spans="1:13" x14ac:dyDescent="0.25">
      <c r="A10" s="64">
        <v>45638</v>
      </c>
      <c r="B10" t="s">
        <v>232</v>
      </c>
      <c r="C10">
        <v>10</v>
      </c>
      <c r="D10" t="s">
        <v>204</v>
      </c>
      <c r="E10">
        <v>0.5</v>
      </c>
      <c r="F10">
        <v>10.27</v>
      </c>
      <c r="G10">
        <v>9.77</v>
      </c>
      <c r="H10">
        <v>102.2</v>
      </c>
      <c r="I10" t="s">
        <v>112</v>
      </c>
      <c r="J10">
        <v>21.5</v>
      </c>
      <c r="K10">
        <v>215</v>
      </c>
      <c r="L10">
        <v>2.8</v>
      </c>
      <c r="M10" t="s">
        <v>205</v>
      </c>
    </row>
    <row r="11" spans="1:13" x14ac:dyDescent="0.25">
      <c r="A11" s="64">
        <v>45639</v>
      </c>
      <c r="B11" t="s">
        <v>232</v>
      </c>
      <c r="C11">
        <v>15</v>
      </c>
      <c r="D11" t="s">
        <v>204</v>
      </c>
      <c r="E11">
        <v>0.5</v>
      </c>
      <c r="F11">
        <v>11.2</v>
      </c>
      <c r="G11">
        <v>10.7</v>
      </c>
      <c r="H11">
        <v>153.69999999999999</v>
      </c>
      <c r="I11" t="s">
        <v>112</v>
      </c>
      <c r="J11">
        <v>21.5</v>
      </c>
      <c r="K11">
        <v>322.5</v>
      </c>
      <c r="L11">
        <v>0</v>
      </c>
      <c r="M11" t="s">
        <v>205</v>
      </c>
    </row>
    <row r="12" spans="1:13" x14ac:dyDescent="0.25">
      <c r="A12" s="64">
        <v>45628</v>
      </c>
      <c r="B12" t="s">
        <v>232</v>
      </c>
      <c r="C12">
        <v>15</v>
      </c>
      <c r="D12" t="s">
        <v>209</v>
      </c>
      <c r="E12">
        <v>0.5</v>
      </c>
      <c r="F12">
        <v>10.220000000000001</v>
      </c>
      <c r="G12">
        <v>9.7200000000000006</v>
      </c>
      <c r="H12">
        <v>109.4</v>
      </c>
      <c r="I12" t="s">
        <v>211</v>
      </c>
      <c r="J12">
        <v>21.5</v>
      </c>
      <c r="K12">
        <v>322.5</v>
      </c>
      <c r="L12">
        <v>2.8</v>
      </c>
      <c r="M12" t="s">
        <v>210</v>
      </c>
    </row>
    <row r="13" spans="1:13" x14ac:dyDescent="0.25">
      <c r="A13" s="64">
        <v>45629</v>
      </c>
      <c r="B13" t="s">
        <v>232</v>
      </c>
      <c r="C13">
        <v>10</v>
      </c>
      <c r="D13" t="s">
        <v>209</v>
      </c>
      <c r="E13">
        <v>0.5</v>
      </c>
      <c r="F13">
        <v>10.67</v>
      </c>
      <c r="G13">
        <v>10.17</v>
      </c>
      <c r="H13">
        <v>112.9</v>
      </c>
      <c r="I13" t="s">
        <v>211</v>
      </c>
      <c r="J13">
        <v>21.5</v>
      </c>
      <c r="K13">
        <v>215</v>
      </c>
      <c r="L13">
        <v>0</v>
      </c>
      <c r="M13" t="s">
        <v>210</v>
      </c>
    </row>
    <row r="14" spans="1:13" x14ac:dyDescent="0.25">
      <c r="A14" s="64">
        <v>45630</v>
      </c>
      <c r="B14" t="s">
        <v>232</v>
      </c>
      <c r="C14">
        <v>11</v>
      </c>
      <c r="D14" t="s">
        <v>209</v>
      </c>
      <c r="E14">
        <v>0.5</v>
      </c>
      <c r="F14">
        <v>10.35</v>
      </c>
      <c r="G14">
        <v>9.85</v>
      </c>
      <c r="H14">
        <v>116.9</v>
      </c>
      <c r="I14" t="s">
        <v>211</v>
      </c>
      <c r="J14">
        <v>21.5</v>
      </c>
      <c r="K14">
        <v>236.5</v>
      </c>
      <c r="L14">
        <v>2.8</v>
      </c>
      <c r="M14" t="s">
        <v>210</v>
      </c>
    </row>
    <row r="15" spans="1:13" x14ac:dyDescent="0.25">
      <c r="A15" s="64">
        <v>45631</v>
      </c>
      <c r="B15" t="s">
        <v>232</v>
      </c>
      <c r="C15">
        <v>2</v>
      </c>
      <c r="D15" t="s">
        <v>209</v>
      </c>
      <c r="E15">
        <v>0</v>
      </c>
      <c r="F15">
        <v>2.4300000000000002</v>
      </c>
      <c r="G15">
        <v>2.4300000000000002</v>
      </c>
      <c r="H15">
        <v>15.8</v>
      </c>
      <c r="I15" t="s">
        <v>211</v>
      </c>
      <c r="J15">
        <v>21.5</v>
      </c>
      <c r="K15">
        <v>43</v>
      </c>
      <c r="L15">
        <v>0</v>
      </c>
      <c r="M15" t="s">
        <v>210</v>
      </c>
    </row>
    <row r="16" spans="1:13" x14ac:dyDescent="0.25">
      <c r="A16" s="64">
        <v>45632</v>
      </c>
      <c r="B16" t="s">
        <v>232</v>
      </c>
      <c r="C16">
        <v>0</v>
      </c>
      <c r="D16" t="s">
        <v>209</v>
      </c>
      <c r="E16">
        <v>0</v>
      </c>
      <c r="F16">
        <v>0</v>
      </c>
      <c r="G16">
        <v>0</v>
      </c>
      <c r="H16">
        <v>0</v>
      </c>
      <c r="I16" t="s">
        <v>211</v>
      </c>
      <c r="J16">
        <v>21.5</v>
      </c>
      <c r="K16">
        <v>0</v>
      </c>
      <c r="L16">
        <v>0</v>
      </c>
      <c r="M16" t="s">
        <v>210</v>
      </c>
    </row>
    <row r="17" spans="1:13" x14ac:dyDescent="0.25">
      <c r="A17" s="64">
        <v>45635</v>
      </c>
      <c r="B17" t="s">
        <v>232</v>
      </c>
      <c r="C17">
        <v>15</v>
      </c>
      <c r="D17" t="s">
        <v>209</v>
      </c>
      <c r="E17">
        <v>0.5</v>
      </c>
      <c r="F17">
        <v>10.72</v>
      </c>
      <c r="G17">
        <v>10.220000000000001</v>
      </c>
      <c r="H17">
        <v>110</v>
      </c>
      <c r="I17" t="s">
        <v>211</v>
      </c>
      <c r="J17">
        <v>21.5</v>
      </c>
      <c r="K17">
        <v>322.5</v>
      </c>
      <c r="L17">
        <v>0</v>
      </c>
      <c r="M17" t="s">
        <v>210</v>
      </c>
    </row>
    <row r="18" spans="1:13" x14ac:dyDescent="0.25">
      <c r="A18" s="64">
        <v>45636</v>
      </c>
      <c r="B18" t="s">
        <v>232</v>
      </c>
      <c r="C18">
        <v>13</v>
      </c>
      <c r="D18" t="s">
        <v>209</v>
      </c>
      <c r="E18">
        <v>0.5</v>
      </c>
      <c r="F18">
        <v>10.02</v>
      </c>
      <c r="G18">
        <v>9.52</v>
      </c>
      <c r="H18">
        <v>126</v>
      </c>
      <c r="I18" t="s">
        <v>211</v>
      </c>
      <c r="J18">
        <v>21.5</v>
      </c>
      <c r="K18">
        <v>279.5</v>
      </c>
      <c r="L18">
        <v>2.8</v>
      </c>
      <c r="M18" t="s">
        <v>210</v>
      </c>
    </row>
    <row r="19" spans="1:13" x14ac:dyDescent="0.25">
      <c r="A19" s="64">
        <v>45637</v>
      </c>
      <c r="B19" t="s">
        <v>232</v>
      </c>
      <c r="C19">
        <v>12</v>
      </c>
      <c r="D19" t="s">
        <v>209</v>
      </c>
      <c r="E19">
        <v>0.5</v>
      </c>
      <c r="F19">
        <v>9.3800000000000008</v>
      </c>
      <c r="G19">
        <v>8.8800000000000008</v>
      </c>
      <c r="H19">
        <v>114</v>
      </c>
      <c r="I19" t="s">
        <v>211</v>
      </c>
      <c r="J19">
        <v>21.5</v>
      </c>
      <c r="K19">
        <v>258</v>
      </c>
      <c r="L19">
        <v>2.8</v>
      </c>
      <c r="M19" t="s">
        <v>210</v>
      </c>
    </row>
    <row r="20" spans="1:13" x14ac:dyDescent="0.25">
      <c r="A20" s="64">
        <v>45638</v>
      </c>
      <c r="B20" t="s">
        <v>232</v>
      </c>
      <c r="C20">
        <v>11</v>
      </c>
      <c r="D20" t="s">
        <v>209</v>
      </c>
      <c r="E20">
        <v>0.5</v>
      </c>
      <c r="F20">
        <v>10.5</v>
      </c>
      <c r="G20">
        <v>10</v>
      </c>
      <c r="H20">
        <v>112.2</v>
      </c>
      <c r="I20" t="s">
        <v>211</v>
      </c>
      <c r="J20">
        <v>21.5</v>
      </c>
      <c r="K20">
        <v>236.5</v>
      </c>
      <c r="L20">
        <v>0</v>
      </c>
      <c r="M20" t="s">
        <v>210</v>
      </c>
    </row>
    <row r="21" spans="1:13" x14ac:dyDescent="0.25">
      <c r="A21" s="64">
        <v>45639</v>
      </c>
      <c r="B21" t="s">
        <v>232</v>
      </c>
      <c r="C21">
        <v>13</v>
      </c>
      <c r="D21" t="s">
        <v>209</v>
      </c>
      <c r="E21">
        <v>0.5</v>
      </c>
      <c r="F21">
        <v>10.17</v>
      </c>
      <c r="G21">
        <v>9.67</v>
      </c>
      <c r="H21">
        <v>125.9</v>
      </c>
      <c r="I21" t="s">
        <v>211</v>
      </c>
      <c r="J21">
        <v>21.5</v>
      </c>
      <c r="K21">
        <v>279.5</v>
      </c>
      <c r="L21">
        <v>2.8</v>
      </c>
      <c r="M21" t="s">
        <v>210</v>
      </c>
    </row>
    <row r="22" spans="1:13" x14ac:dyDescent="0.25">
      <c r="A22" s="64">
        <v>45628</v>
      </c>
      <c r="B22" t="s">
        <v>232</v>
      </c>
      <c r="C22">
        <v>0</v>
      </c>
      <c r="D22" t="s">
        <v>225</v>
      </c>
      <c r="E22">
        <v>0</v>
      </c>
      <c r="F22">
        <v>0</v>
      </c>
      <c r="G22">
        <v>0</v>
      </c>
      <c r="H22">
        <v>0</v>
      </c>
      <c r="I22" t="s">
        <v>227</v>
      </c>
      <c r="J22">
        <v>21.5</v>
      </c>
      <c r="K22">
        <v>0</v>
      </c>
      <c r="L22">
        <v>0</v>
      </c>
      <c r="M22" t="s">
        <v>226</v>
      </c>
    </row>
    <row r="23" spans="1:13" x14ac:dyDescent="0.25">
      <c r="A23" s="64">
        <v>45629</v>
      </c>
      <c r="B23" t="s">
        <v>232</v>
      </c>
      <c r="C23">
        <v>11</v>
      </c>
      <c r="D23" t="s">
        <v>225</v>
      </c>
      <c r="E23">
        <v>0.5</v>
      </c>
      <c r="F23">
        <v>9.52</v>
      </c>
      <c r="G23">
        <v>9.02</v>
      </c>
      <c r="H23">
        <v>113.5</v>
      </c>
      <c r="I23" t="s">
        <v>227</v>
      </c>
      <c r="J23">
        <v>21.5</v>
      </c>
      <c r="K23">
        <v>236.5</v>
      </c>
      <c r="L23">
        <v>0</v>
      </c>
      <c r="M23" t="s">
        <v>226</v>
      </c>
    </row>
    <row r="24" spans="1:13" x14ac:dyDescent="0.25">
      <c r="A24" s="64">
        <v>45630</v>
      </c>
      <c r="B24" t="s">
        <v>232</v>
      </c>
      <c r="C24">
        <v>13</v>
      </c>
      <c r="D24" t="s">
        <v>225</v>
      </c>
      <c r="E24">
        <v>0.5</v>
      </c>
      <c r="F24">
        <v>10.77</v>
      </c>
      <c r="G24">
        <v>10.27</v>
      </c>
      <c r="H24">
        <v>118.8</v>
      </c>
      <c r="I24" t="s">
        <v>227</v>
      </c>
      <c r="J24">
        <v>21.5</v>
      </c>
      <c r="K24">
        <v>279.5</v>
      </c>
      <c r="L24">
        <v>8.4</v>
      </c>
      <c r="M24" t="s">
        <v>226</v>
      </c>
    </row>
    <row r="25" spans="1:13" x14ac:dyDescent="0.25">
      <c r="A25" s="64">
        <v>45631</v>
      </c>
      <c r="B25" t="s">
        <v>232</v>
      </c>
      <c r="C25">
        <v>12</v>
      </c>
      <c r="D25" t="s">
        <v>225</v>
      </c>
      <c r="E25">
        <v>0.5</v>
      </c>
      <c r="F25">
        <v>10.17</v>
      </c>
      <c r="G25">
        <v>9.67</v>
      </c>
      <c r="H25">
        <v>126.9</v>
      </c>
      <c r="I25" t="s">
        <v>227</v>
      </c>
      <c r="J25">
        <v>21.5</v>
      </c>
      <c r="K25">
        <v>258</v>
      </c>
      <c r="L25">
        <v>0</v>
      </c>
      <c r="M25" t="s">
        <v>226</v>
      </c>
    </row>
    <row r="26" spans="1:13" x14ac:dyDescent="0.25">
      <c r="A26" s="64">
        <v>45632</v>
      </c>
      <c r="B26" t="s">
        <v>232</v>
      </c>
      <c r="C26">
        <v>10</v>
      </c>
      <c r="D26" t="s">
        <v>225</v>
      </c>
      <c r="E26">
        <v>0.5</v>
      </c>
      <c r="F26">
        <v>8.58</v>
      </c>
      <c r="G26">
        <v>8.08</v>
      </c>
      <c r="H26">
        <v>113.9</v>
      </c>
      <c r="I26" t="s">
        <v>227</v>
      </c>
      <c r="J26">
        <v>21.5</v>
      </c>
      <c r="K26">
        <v>215</v>
      </c>
      <c r="L26">
        <v>5.6</v>
      </c>
      <c r="M26" t="s">
        <v>226</v>
      </c>
    </row>
    <row r="27" spans="1:13" x14ac:dyDescent="0.25">
      <c r="A27" s="64">
        <v>45635</v>
      </c>
      <c r="B27" t="s">
        <v>232</v>
      </c>
      <c r="C27">
        <v>17</v>
      </c>
      <c r="D27" t="s">
        <v>225</v>
      </c>
      <c r="E27">
        <v>0.5</v>
      </c>
      <c r="F27">
        <v>10.45</v>
      </c>
      <c r="G27">
        <v>9.9499999999999993</v>
      </c>
      <c r="H27">
        <v>131.19999999999999</v>
      </c>
      <c r="I27" t="s">
        <v>227</v>
      </c>
      <c r="J27">
        <v>21.5</v>
      </c>
      <c r="K27">
        <v>365.5</v>
      </c>
      <c r="L27">
        <v>0</v>
      </c>
      <c r="M27" t="s">
        <v>226</v>
      </c>
    </row>
    <row r="28" spans="1:13" x14ac:dyDescent="0.25">
      <c r="A28" s="64">
        <v>45636</v>
      </c>
      <c r="B28" t="s">
        <v>232</v>
      </c>
      <c r="C28">
        <v>14</v>
      </c>
      <c r="D28" t="s">
        <v>225</v>
      </c>
      <c r="E28">
        <v>0.5</v>
      </c>
      <c r="F28">
        <v>9.4700000000000006</v>
      </c>
      <c r="G28">
        <v>8.9700000000000006</v>
      </c>
      <c r="H28">
        <v>106</v>
      </c>
      <c r="I28" t="s">
        <v>227</v>
      </c>
      <c r="J28">
        <v>21.5</v>
      </c>
      <c r="K28">
        <v>301</v>
      </c>
      <c r="L28">
        <v>0</v>
      </c>
      <c r="M28" t="s">
        <v>226</v>
      </c>
    </row>
    <row r="29" spans="1:13" x14ac:dyDescent="0.25">
      <c r="A29" s="64">
        <v>45637</v>
      </c>
      <c r="B29" t="s">
        <v>232</v>
      </c>
      <c r="C29">
        <v>11</v>
      </c>
      <c r="D29" t="s">
        <v>225</v>
      </c>
      <c r="E29">
        <v>0.5</v>
      </c>
      <c r="F29">
        <v>10.17</v>
      </c>
      <c r="G29">
        <v>9.67</v>
      </c>
      <c r="H29">
        <v>95.8</v>
      </c>
      <c r="I29" t="s">
        <v>227</v>
      </c>
      <c r="J29">
        <v>21.5</v>
      </c>
      <c r="K29">
        <v>236.5</v>
      </c>
      <c r="L29">
        <v>5.6</v>
      </c>
      <c r="M29" t="s">
        <v>226</v>
      </c>
    </row>
    <row r="30" spans="1:13" x14ac:dyDescent="0.25">
      <c r="A30" s="64">
        <v>45638</v>
      </c>
      <c r="B30" t="s">
        <v>232</v>
      </c>
      <c r="C30">
        <v>18</v>
      </c>
      <c r="D30" t="s">
        <v>225</v>
      </c>
      <c r="E30">
        <v>0.5</v>
      </c>
      <c r="F30">
        <v>10.38</v>
      </c>
      <c r="G30">
        <v>9.8800000000000008</v>
      </c>
      <c r="H30">
        <v>122.1</v>
      </c>
      <c r="I30" t="s">
        <v>227</v>
      </c>
      <c r="J30">
        <v>21.5</v>
      </c>
      <c r="K30">
        <v>387</v>
      </c>
      <c r="L30">
        <v>0</v>
      </c>
      <c r="M30" t="s">
        <v>226</v>
      </c>
    </row>
    <row r="31" spans="1:13" x14ac:dyDescent="0.25">
      <c r="A31" s="64">
        <v>45639</v>
      </c>
      <c r="B31" t="s">
        <v>232</v>
      </c>
      <c r="C31">
        <v>14</v>
      </c>
      <c r="D31" t="s">
        <v>225</v>
      </c>
      <c r="E31">
        <v>0.5</v>
      </c>
      <c r="F31">
        <v>10.37</v>
      </c>
      <c r="G31">
        <v>9.8699999999999992</v>
      </c>
      <c r="H31">
        <v>106.7</v>
      </c>
      <c r="I31" t="s">
        <v>227</v>
      </c>
      <c r="J31">
        <v>21.5</v>
      </c>
      <c r="K31">
        <v>301</v>
      </c>
      <c r="L31">
        <v>2.8</v>
      </c>
      <c r="M31" t="s">
        <v>226</v>
      </c>
    </row>
    <row r="32" spans="1:13" x14ac:dyDescent="0.25">
      <c r="A32" s="64">
        <v>45628</v>
      </c>
      <c r="B32" t="s">
        <v>232</v>
      </c>
      <c r="C32">
        <v>15</v>
      </c>
      <c r="D32" t="s">
        <v>222</v>
      </c>
      <c r="E32">
        <v>0.5</v>
      </c>
      <c r="F32">
        <v>10.33</v>
      </c>
      <c r="G32">
        <v>9.83</v>
      </c>
      <c r="H32">
        <v>126.7</v>
      </c>
      <c r="I32" t="s">
        <v>224</v>
      </c>
      <c r="J32">
        <v>21.5</v>
      </c>
      <c r="K32">
        <v>322.5</v>
      </c>
      <c r="L32">
        <v>0</v>
      </c>
      <c r="M32" t="s">
        <v>223</v>
      </c>
    </row>
    <row r="33" spans="1:13" x14ac:dyDescent="0.25">
      <c r="A33" s="64">
        <v>45629</v>
      </c>
      <c r="B33" t="s">
        <v>232</v>
      </c>
      <c r="C33">
        <v>15</v>
      </c>
      <c r="D33" t="s">
        <v>222</v>
      </c>
      <c r="E33">
        <v>0.5</v>
      </c>
      <c r="F33">
        <v>10.63</v>
      </c>
      <c r="G33">
        <v>10.130000000000001</v>
      </c>
      <c r="H33">
        <v>144.19999999999999</v>
      </c>
      <c r="I33" t="s">
        <v>224</v>
      </c>
      <c r="J33">
        <v>21.5</v>
      </c>
      <c r="K33">
        <v>322.5</v>
      </c>
      <c r="L33">
        <v>0</v>
      </c>
      <c r="M33" t="s">
        <v>223</v>
      </c>
    </row>
    <row r="34" spans="1:13" x14ac:dyDescent="0.25">
      <c r="A34" s="64">
        <v>45630</v>
      </c>
      <c r="B34" t="s">
        <v>232</v>
      </c>
      <c r="C34">
        <v>12</v>
      </c>
      <c r="D34" t="s">
        <v>222</v>
      </c>
      <c r="E34">
        <v>0.5</v>
      </c>
      <c r="F34">
        <v>10.83</v>
      </c>
      <c r="G34">
        <v>10.33</v>
      </c>
      <c r="H34">
        <v>112.7</v>
      </c>
      <c r="I34" t="s">
        <v>224</v>
      </c>
      <c r="J34">
        <v>21.5</v>
      </c>
      <c r="K34">
        <v>258</v>
      </c>
      <c r="L34">
        <v>5.6</v>
      </c>
      <c r="M34" t="s">
        <v>223</v>
      </c>
    </row>
    <row r="35" spans="1:13" x14ac:dyDescent="0.25">
      <c r="A35" s="64">
        <v>45631</v>
      </c>
      <c r="B35" t="s">
        <v>232</v>
      </c>
      <c r="C35">
        <v>15</v>
      </c>
      <c r="D35" t="s">
        <v>222</v>
      </c>
      <c r="E35">
        <v>0.38</v>
      </c>
      <c r="F35">
        <v>10.1</v>
      </c>
      <c r="G35">
        <v>9.7199999999999989</v>
      </c>
      <c r="H35">
        <v>131.80000000000001</v>
      </c>
      <c r="I35" t="s">
        <v>224</v>
      </c>
      <c r="J35">
        <v>21.5</v>
      </c>
      <c r="K35">
        <v>322.5</v>
      </c>
      <c r="L35">
        <v>8.4</v>
      </c>
      <c r="M35" t="s">
        <v>223</v>
      </c>
    </row>
    <row r="36" spans="1:13" x14ac:dyDescent="0.25">
      <c r="A36" s="64">
        <v>45632</v>
      </c>
      <c r="B36" t="s">
        <v>232</v>
      </c>
      <c r="C36">
        <v>13</v>
      </c>
      <c r="D36" t="s">
        <v>222</v>
      </c>
      <c r="E36">
        <v>0.5</v>
      </c>
      <c r="F36">
        <v>10.1</v>
      </c>
      <c r="G36">
        <v>9.6</v>
      </c>
      <c r="H36">
        <v>149.30000000000001</v>
      </c>
      <c r="I36" t="s">
        <v>224</v>
      </c>
      <c r="J36">
        <v>21.5</v>
      </c>
      <c r="K36">
        <v>279.5</v>
      </c>
      <c r="L36">
        <v>8.4</v>
      </c>
      <c r="M36" t="s">
        <v>223</v>
      </c>
    </row>
    <row r="37" spans="1:13" x14ac:dyDescent="0.25">
      <c r="A37" s="64">
        <v>45635</v>
      </c>
      <c r="B37" t="s">
        <v>232</v>
      </c>
      <c r="C37">
        <v>15</v>
      </c>
      <c r="D37" t="s">
        <v>222</v>
      </c>
      <c r="E37">
        <v>0.5</v>
      </c>
      <c r="F37">
        <v>10.37</v>
      </c>
      <c r="G37">
        <v>9.8699999999999992</v>
      </c>
      <c r="H37">
        <v>115</v>
      </c>
      <c r="I37" t="s">
        <v>224</v>
      </c>
      <c r="J37">
        <v>21.5</v>
      </c>
      <c r="K37">
        <v>322.5</v>
      </c>
      <c r="L37">
        <v>5.6</v>
      </c>
      <c r="M37" t="s">
        <v>223</v>
      </c>
    </row>
    <row r="38" spans="1:13" x14ac:dyDescent="0.25">
      <c r="A38" s="64">
        <v>45636</v>
      </c>
      <c r="B38" t="s">
        <v>232</v>
      </c>
      <c r="C38">
        <v>9</v>
      </c>
      <c r="D38" t="s">
        <v>222</v>
      </c>
      <c r="E38">
        <v>0.5</v>
      </c>
      <c r="F38">
        <v>8.07</v>
      </c>
      <c r="G38">
        <v>7.57</v>
      </c>
      <c r="H38">
        <v>79.3</v>
      </c>
      <c r="I38" t="s">
        <v>224</v>
      </c>
      <c r="J38">
        <v>21.5</v>
      </c>
      <c r="K38">
        <v>193.5</v>
      </c>
      <c r="L38">
        <v>2.8</v>
      </c>
      <c r="M38" t="s">
        <v>223</v>
      </c>
    </row>
    <row r="39" spans="1:13" x14ac:dyDescent="0.25">
      <c r="A39" s="64">
        <v>45637</v>
      </c>
      <c r="B39" t="s">
        <v>232</v>
      </c>
      <c r="C39">
        <v>14</v>
      </c>
      <c r="D39" t="s">
        <v>222</v>
      </c>
      <c r="E39">
        <v>0.5</v>
      </c>
      <c r="F39">
        <v>11.27</v>
      </c>
      <c r="G39">
        <v>10.77</v>
      </c>
      <c r="H39">
        <v>164.6</v>
      </c>
      <c r="I39" t="s">
        <v>224</v>
      </c>
      <c r="J39">
        <v>21.5</v>
      </c>
      <c r="K39">
        <v>301</v>
      </c>
      <c r="L39">
        <v>5.6</v>
      </c>
      <c r="M39" t="s">
        <v>223</v>
      </c>
    </row>
    <row r="40" spans="1:13" x14ac:dyDescent="0.25">
      <c r="A40" s="64">
        <v>45638</v>
      </c>
      <c r="B40" t="s">
        <v>232</v>
      </c>
      <c r="C40">
        <v>13</v>
      </c>
      <c r="D40" t="s">
        <v>222</v>
      </c>
      <c r="E40">
        <v>0.5</v>
      </c>
      <c r="F40">
        <v>10.62</v>
      </c>
      <c r="G40">
        <v>10.119999999999999</v>
      </c>
      <c r="H40">
        <v>113.8</v>
      </c>
      <c r="I40" t="s">
        <v>224</v>
      </c>
      <c r="J40">
        <v>21.5</v>
      </c>
      <c r="K40">
        <v>279.5</v>
      </c>
      <c r="L40">
        <v>0</v>
      </c>
      <c r="M40" t="s">
        <v>223</v>
      </c>
    </row>
    <row r="41" spans="1:13" x14ac:dyDescent="0.25">
      <c r="A41" s="64">
        <v>45639</v>
      </c>
      <c r="B41" t="s">
        <v>232</v>
      </c>
      <c r="C41">
        <v>16</v>
      </c>
      <c r="D41" t="s">
        <v>222</v>
      </c>
      <c r="E41">
        <v>0.5</v>
      </c>
      <c r="F41">
        <v>11.18</v>
      </c>
      <c r="G41">
        <v>10.68</v>
      </c>
      <c r="H41">
        <v>145.4</v>
      </c>
      <c r="I41" t="s">
        <v>224</v>
      </c>
      <c r="J41">
        <v>21.5</v>
      </c>
      <c r="K41">
        <v>344</v>
      </c>
      <c r="L41">
        <v>2.8</v>
      </c>
      <c r="M41" t="s">
        <v>223</v>
      </c>
    </row>
    <row r="42" spans="1:13" x14ac:dyDescent="0.25">
      <c r="A42" s="64">
        <v>45628</v>
      </c>
      <c r="B42" t="s">
        <v>232</v>
      </c>
      <c r="C42">
        <v>18</v>
      </c>
      <c r="D42" t="s">
        <v>212</v>
      </c>
      <c r="E42">
        <v>0.5</v>
      </c>
      <c r="F42">
        <v>10.9</v>
      </c>
      <c r="G42">
        <v>10.4</v>
      </c>
      <c r="H42">
        <v>116.9</v>
      </c>
      <c r="I42" t="s">
        <v>214</v>
      </c>
      <c r="J42">
        <v>21.5</v>
      </c>
      <c r="K42">
        <v>387</v>
      </c>
      <c r="L42">
        <v>0</v>
      </c>
      <c r="M42" t="s">
        <v>213</v>
      </c>
    </row>
    <row r="43" spans="1:13" x14ac:dyDescent="0.25">
      <c r="A43" s="64">
        <v>45629</v>
      </c>
      <c r="B43" t="s">
        <v>232</v>
      </c>
      <c r="C43">
        <v>15</v>
      </c>
      <c r="D43" t="s">
        <v>212</v>
      </c>
      <c r="E43">
        <v>0.5</v>
      </c>
      <c r="F43">
        <v>10.8</v>
      </c>
      <c r="G43">
        <v>10.3</v>
      </c>
      <c r="H43">
        <v>126.4</v>
      </c>
      <c r="I43" t="s">
        <v>214</v>
      </c>
      <c r="J43">
        <v>21.5</v>
      </c>
      <c r="K43">
        <v>322.5</v>
      </c>
      <c r="L43">
        <v>0</v>
      </c>
      <c r="M43" t="s">
        <v>213</v>
      </c>
    </row>
    <row r="44" spans="1:13" x14ac:dyDescent="0.25">
      <c r="A44" s="64">
        <v>45630</v>
      </c>
      <c r="B44" t="s">
        <v>232</v>
      </c>
      <c r="C44">
        <v>13</v>
      </c>
      <c r="D44" t="s">
        <v>212</v>
      </c>
      <c r="E44">
        <v>0.5</v>
      </c>
      <c r="F44">
        <v>10.42</v>
      </c>
      <c r="G44">
        <v>9.92</v>
      </c>
      <c r="H44">
        <v>134.4</v>
      </c>
      <c r="I44" t="s">
        <v>214</v>
      </c>
      <c r="J44">
        <v>21.5</v>
      </c>
      <c r="K44">
        <v>279.5</v>
      </c>
      <c r="L44">
        <v>0</v>
      </c>
      <c r="M44" t="s">
        <v>213</v>
      </c>
    </row>
    <row r="45" spans="1:13" x14ac:dyDescent="0.25">
      <c r="A45" s="64">
        <v>45631</v>
      </c>
      <c r="B45" t="s">
        <v>232</v>
      </c>
      <c r="C45">
        <v>13</v>
      </c>
      <c r="D45" t="s">
        <v>212</v>
      </c>
      <c r="E45">
        <v>0.5</v>
      </c>
      <c r="F45">
        <v>10.62</v>
      </c>
      <c r="G45">
        <v>10.119999999999999</v>
      </c>
      <c r="H45">
        <v>166.7</v>
      </c>
      <c r="I45" t="s">
        <v>214</v>
      </c>
      <c r="J45">
        <v>21.5</v>
      </c>
      <c r="K45">
        <v>279.5</v>
      </c>
      <c r="L45">
        <v>0</v>
      </c>
      <c r="M45" t="s">
        <v>213</v>
      </c>
    </row>
    <row r="46" spans="1:13" x14ac:dyDescent="0.25">
      <c r="A46" s="64">
        <v>45632</v>
      </c>
      <c r="B46" t="s">
        <v>232</v>
      </c>
      <c r="C46">
        <v>13</v>
      </c>
      <c r="D46" t="s">
        <v>212</v>
      </c>
      <c r="E46">
        <v>0.5</v>
      </c>
      <c r="F46">
        <v>11.37</v>
      </c>
      <c r="G46">
        <v>10.87</v>
      </c>
      <c r="H46">
        <v>117</v>
      </c>
      <c r="I46" t="s">
        <v>214</v>
      </c>
      <c r="J46">
        <v>21.5</v>
      </c>
      <c r="K46">
        <v>279.5</v>
      </c>
      <c r="L46">
        <v>0</v>
      </c>
      <c r="M46" t="s">
        <v>213</v>
      </c>
    </row>
    <row r="47" spans="1:13" x14ac:dyDescent="0.25">
      <c r="A47" s="64">
        <v>45634</v>
      </c>
      <c r="B47" t="s">
        <v>232</v>
      </c>
      <c r="C47">
        <v>5</v>
      </c>
      <c r="D47" t="s">
        <v>212</v>
      </c>
      <c r="E47">
        <v>0</v>
      </c>
      <c r="F47">
        <v>4.9000000000000004</v>
      </c>
      <c r="G47">
        <v>4.9000000000000004</v>
      </c>
      <c r="H47">
        <v>83.2</v>
      </c>
      <c r="I47" t="s">
        <v>214</v>
      </c>
      <c r="J47">
        <v>21.5</v>
      </c>
      <c r="K47">
        <v>107.5</v>
      </c>
      <c r="L47">
        <v>0</v>
      </c>
      <c r="M47" t="s">
        <v>213</v>
      </c>
    </row>
    <row r="48" spans="1:13" x14ac:dyDescent="0.25">
      <c r="A48" s="64">
        <v>45635</v>
      </c>
      <c r="B48" t="s">
        <v>232</v>
      </c>
      <c r="C48">
        <v>17</v>
      </c>
      <c r="D48" t="s">
        <v>212</v>
      </c>
      <c r="E48">
        <v>0.5</v>
      </c>
      <c r="F48">
        <v>10.87</v>
      </c>
      <c r="G48">
        <v>10.37</v>
      </c>
      <c r="H48">
        <v>162.5</v>
      </c>
      <c r="I48" t="s">
        <v>214</v>
      </c>
      <c r="J48">
        <v>21.5</v>
      </c>
      <c r="K48">
        <v>365.5</v>
      </c>
      <c r="L48">
        <v>0</v>
      </c>
      <c r="M48" t="s">
        <v>213</v>
      </c>
    </row>
    <row r="49" spans="1:13" x14ac:dyDescent="0.25">
      <c r="A49" s="64">
        <v>45636</v>
      </c>
      <c r="B49" t="s">
        <v>232</v>
      </c>
      <c r="C49">
        <v>14</v>
      </c>
      <c r="D49" t="s">
        <v>212</v>
      </c>
      <c r="E49">
        <v>0.38</v>
      </c>
      <c r="F49">
        <v>10.95</v>
      </c>
      <c r="G49">
        <v>10.569999999999999</v>
      </c>
      <c r="H49">
        <v>127.5</v>
      </c>
      <c r="I49" t="s">
        <v>214</v>
      </c>
      <c r="J49">
        <v>21.5</v>
      </c>
      <c r="K49">
        <v>301</v>
      </c>
      <c r="L49">
        <v>2.8</v>
      </c>
      <c r="M49" t="s">
        <v>213</v>
      </c>
    </row>
    <row r="50" spans="1:13" x14ac:dyDescent="0.25">
      <c r="A50" s="64">
        <v>45637</v>
      </c>
      <c r="B50" t="s">
        <v>232</v>
      </c>
      <c r="C50">
        <v>19</v>
      </c>
      <c r="D50" t="s">
        <v>212</v>
      </c>
      <c r="E50">
        <v>0.5</v>
      </c>
      <c r="F50">
        <v>11.13</v>
      </c>
      <c r="G50">
        <v>10.63</v>
      </c>
      <c r="H50">
        <v>134.4</v>
      </c>
      <c r="I50" t="s">
        <v>214</v>
      </c>
      <c r="J50">
        <v>21.5</v>
      </c>
      <c r="K50">
        <v>408.5</v>
      </c>
      <c r="L50">
        <v>2.8</v>
      </c>
      <c r="M50" t="s">
        <v>213</v>
      </c>
    </row>
    <row r="51" spans="1:13" x14ac:dyDescent="0.25">
      <c r="A51" s="64">
        <v>45638</v>
      </c>
      <c r="B51" t="s">
        <v>232</v>
      </c>
      <c r="C51">
        <v>17</v>
      </c>
      <c r="D51" t="s">
        <v>212</v>
      </c>
      <c r="E51">
        <v>0.5</v>
      </c>
      <c r="F51">
        <v>11</v>
      </c>
      <c r="G51">
        <v>10.5</v>
      </c>
      <c r="H51">
        <v>118.8</v>
      </c>
      <c r="I51" t="s">
        <v>214</v>
      </c>
      <c r="J51">
        <v>21.5</v>
      </c>
      <c r="K51">
        <v>365.5</v>
      </c>
      <c r="L51">
        <v>2.8</v>
      </c>
      <c r="M51" t="s">
        <v>213</v>
      </c>
    </row>
    <row r="52" spans="1:13" x14ac:dyDescent="0.25">
      <c r="A52" s="64">
        <v>45639</v>
      </c>
      <c r="B52" t="s">
        <v>232</v>
      </c>
      <c r="C52">
        <v>17</v>
      </c>
      <c r="D52" t="s">
        <v>212</v>
      </c>
      <c r="E52">
        <v>0.5</v>
      </c>
      <c r="F52">
        <v>11.58</v>
      </c>
      <c r="G52">
        <v>11.08</v>
      </c>
      <c r="H52">
        <v>161.5</v>
      </c>
      <c r="I52" t="s">
        <v>214</v>
      </c>
      <c r="J52">
        <v>21.5</v>
      </c>
      <c r="K52">
        <v>365.5</v>
      </c>
      <c r="L52">
        <v>5.6</v>
      </c>
      <c r="M52" t="s">
        <v>213</v>
      </c>
    </row>
    <row r="53" spans="1:13" x14ac:dyDescent="0.25">
      <c r="A53" s="64">
        <v>45641</v>
      </c>
      <c r="B53" t="s">
        <v>232</v>
      </c>
      <c r="C53">
        <v>8</v>
      </c>
      <c r="D53" t="s">
        <v>212</v>
      </c>
      <c r="E53">
        <v>0</v>
      </c>
      <c r="F53">
        <v>5.4</v>
      </c>
      <c r="G53">
        <v>5.4</v>
      </c>
      <c r="H53">
        <v>88.2</v>
      </c>
      <c r="I53" t="s">
        <v>214</v>
      </c>
      <c r="J53">
        <v>21.5</v>
      </c>
      <c r="K53">
        <v>172</v>
      </c>
      <c r="L53">
        <v>0</v>
      </c>
      <c r="M53" t="s">
        <v>213</v>
      </c>
    </row>
    <row r="54" spans="1:13" x14ac:dyDescent="0.25">
      <c r="A54" s="64">
        <v>45628</v>
      </c>
      <c r="B54" t="s">
        <v>232</v>
      </c>
      <c r="C54">
        <v>0</v>
      </c>
      <c r="D54" t="s">
        <v>266</v>
      </c>
      <c r="E54">
        <v>0</v>
      </c>
      <c r="F54">
        <v>0</v>
      </c>
      <c r="G54">
        <v>0</v>
      </c>
      <c r="H54">
        <v>0</v>
      </c>
      <c r="I54" t="s">
        <v>360</v>
      </c>
      <c r="J54">
        <v>21.5</v>
      </c>
      <c r="K54">
        <v>0</v>
      </c>
      <c r="L54">
        <v>0</v>
      </c>
      <c r="M54" t="s">
        <v>359</v>
      </c>
    </row>
    <row r="55" spans="1:13" x14ac:dyDescent="0.25">
      <c r="A55" s="64">
        <v>45629</v>
      </c>
      <c r="B55" t="s">
        <v>232</v>
      </c>
      <c r="C55">
        <v>0</v>
      </c>
      <c r="D55" t="s">
        <v>266</v>
      </c>
      <c r="E55">
        <v>0</v>
      </c>
      <c r="F55">
        <v>0</v>
      </c>
      <c r="G55">
        <v>0</v>
      </c>
      <c r="H55">
        <v>0</v>
      </c>
      <c r="I55" t="s">
        <v>360</v>
      </c>
      <c r="J55">
        <v>21.5</v>
      </c>
      <c r="K55">
        <v>0</v>
      </c>
      <c r="L55">
        <v>0</v>
      </c>
      <c r="M55" t="s">
        <v>359</v>
      </c>
    </row>
    <row r="56" spans="1:13" x14ac:dyDescent="0.25">
      <c r="A56" s="64">
        <v>45630</v>
      </c>
      <c r="B56" t="s">
        <v>232</v>
      </c>
      <c r="C56">
        <v>0</v>
      </c>
      <c r="D56" t="s">
        <v>266</v>
      </c>
      <c r="E56">
        <v>0</v>
      </c>
      <c r="F56">
        <v>0</v>
      </c>
      <c r="G56">
        <v>0</v>
      </c>
      <c r="H56">
        <v>0</v>
      </c>
      <c r="I56" t="s">
        <v>360</v>
      </c>
      <c r="J56">
        <v>21.5</v>
      </c>
      <c r="K56">
        <v>0</v>
      </c>
      <c r="L56">
        <v>0</v>
      </c>
      <c r="M56" t="s">
        <v>359</v>
      </c>
    </row>
    <row r="57" spans="1:13" x14ac:dyDescent="0.25">
      <c r="A57" s="64">
        <v>45631</v>
      </c>
      <c r="B57" t="s">
        <v>232</v>
      </c>
      <c r="C57">
        <v>8</v>
      </c>
      <c r="D57" t="s">
        <v>266</v>
      </c>
      <c r="E57">
        <v>0.5</v>
      </c>
      <c r="F57">
        <v>10.220000000000001</v>
      </c>
      <c r="G57">
        <v>9.7200000000000006</v>
      </c>
      <c r="H57">
        <v>104.8</v>
      </c>
      <c r="I57" t="s">
        <v>360</v>
      </c>
      <c r="J57">
        <v>21.5</v>
      </c>
      <c r="K57">
        <v>172</v>
      </c>
      <c r="L57">
        <v>2.8</v>
      </c>
      <c r="M57" t="s">
        <v>359</v>
      </c>
    </row>
    <row r="58" spans="1:13" x14ac:dyDescent="0.25">
      <c r="A58" s="64">
        <v>45632</v>
      </c>
      <c r="B58" t="s">
        <v>232</v>
      </c>
      <c r="C58">
        <v>7</v>
      </c>
      <c r="D58" t="s">
        <v>266</v>
      </c>
      <c r="E58">
        <v>0.5</v>
      </c>
      <c r="F58">
        <v>11.37</v>
      </c>
      <c r="G58">
        <v>10.87</v>
      </c>
      <c r="H58">
        <v>71.400000000000006</v>
      </c>
      <c r="I58" t="s">
        <v>360</v>
      </c>
      <c r="J58">
        <v>21.5</v>
      </c>
      <c r="K58">
        <v>150.5</v>
      </c>
      <c r="L58">
        <v>0</v>
      </c>
      <c r="M58" t="s">
        <v>359</v>
      </c>
    </row>
    <row r="59" spans="1:13" x14ac:dyDescent="0.25">
      <c r="A59" s="64">
        <v>45635</v>
      </c>
      <c r="B59" t="s">
        <v>232</v>
      </c>
      <c r="C59">
        <v>13</v>
      </c>
      <c r="D59" t="s">
        <v>266</v>
      </c>
      <c r="E59">
        <v>0.18</v>
      </c>
      <c r="F59">
        <v>11.03</v>
      </c>
      <c r="G59">
        <v>10.85</v>
      </c>
      <c r="H59">
        <v>108.3</v>
      </c>
      <c r="I59" t="s">
        <v>360</v>
      </c>
      <c r="J59">
        <v>21.5</v>
      </c>
      <c r="K59">
        <v>279.5</v>
      </c>
      <c r="L59">
        <v>2.8</v>
      </c>
      <c r="M59" t="s">
        <v>359</v>
      </c>
    </row>
    <row r="60" spans="1:13" x14ac:dyDescent="0.25">
      <c r="A60" s="64">
        <v>45636</v>
      </c>
      <c r="B60" t="s">
        <v>232</v>
      </c>
      <c r="C60">
        <v>11</v>
      </c>
      <c r="D60" t="s">
        <v>266</v>
      </c>
      <c r="E60">
        <v>0.5</v>
      </c>
      <c r="F60">
        <v>11.45</v>
      </c>
      <c r="G60">
        <v>10.95</v>
      </c>
      <c r="H60">
        <v>96.2</v>
      </c>
      <c r="I60" t="s">
        <v>360</v>
      </c>
      <c r="J60">
        <v>21.5</v>
      </c>
      <c r="K60">
        <v>236.5</v>
      </c>
      <c r="L60">
        <v>5.6</v>
      </c>
      <c r="M60" t="s">
        <v>359</v>
      </c>
    </row>
    <row r="61" spans="1:13" x14ac:dyDescent="0.25">
      <c r="A61" s="64">
        <v>45637</v>
      </c>
      <c r="B61" t="s">
        <v>232</v>
      </c>
      <c r="C61">
        <v>15</v>
      </c>
      <c r="D61" t="s">
        <v>266</v>
      </c>
      <c r="E61">
        <v>0.5</v>
      </c>
      <c r="F61">
        <v>10.7</v>
      </c>
      <c r="G61">
        <v>10.199999999999999</v>
      </c>
      <c r="H61">
        <v>88</v>
      </c>
      <c r="I61" t="s">
        <v>360</v>
      </c>
      <c r="J61">
        <v>21.5</v>
      </c>
      <c r="K61">
        <v>322.5</v>
      </c>
      <c r="L61">
        <v>5.6</v>
      </c>
      <c r="M61" t="s">
        <v>359</v>
      </c>
    </row>
    <row r="62" spans="1:13" x14ac:dyDescent="0.25">
      <c r="A62" s="64">
        <v>45638</v>
      </c>
      <c r="B62" t="s">
        <v>232</v>
      </c>
      <c r="C62">
        <v>11</v>
      </c>
      <c r="D62" t="s">
        <v>266</v>
      </c>
      <c r="E62">
        <v>0.5</v>
      </c>
      <c r="F62">
        <v>11.15</v>
      </c>
      <c r="G62">
        <v>10.65</v>
      </c>
      <c r="H62">
        <v>101.6</v>
      </c>
      <c r="I62" t="s">
        <v>360</v>
      </c>
      <c r="J62">
        <v>21.5</v>
      </c>
      <c r="K62">
        <v>236.5</v>
      </c>
      <c r="L62">
        <v>2.8</v>
      </c>
      <c r="M62" t="s">
        <v>359</v>
      </c>
    </row>
    <row r="63" spans="1:13" x14ac:dyDescent="0.25">
      <c r="A63" s="64">
        <v>45639</v>
      </c>
      <c r="B63" t="s">
        <v>232</v>
      </c>
      <c r="C63">
        <v>12</v>
      </c>
      <c r="D63" t="s">
        <v>266</v>
      </c>
      <c r="E63">
        <v>0.5</v>
      </c>
      <c r="F63">
        <v>10.58</v>
      </c>
      <c r="G63">
        <v>10.08</v>
      </c>
      <c r="H63">
        <v>112.3</v>
      </c>
      <c r="I63" t="s">
        <v>360</v>
      </c>
      <c r="J63">
        <v>21.5</v>
      </c>
      <c r="K63">
        <v>258</v>
      </c>
      <c r="L63">
        <v>5.6</v>
      </c>
      <c r="M63" t="s">
        <v>359</v>
      </c>
    </row>
    <row r="64" spans="1:13" x14ac:dyDescent="0.25">
      <c r="A64" s="64">
        <v>45628</v>
      </c>
      <c r="B64" t="s">
        <v>232</v>
      </c>
      <c r="C64">
        <v>0</v>
      </c>
      <c r="D64" t="s">
        <v>206</v>
      </c>
      <c r="E64">
        <v>0</v>
      </c>
      <c r="F64">
        <v>0</v>
      </c>
      <c r="G64">
        <v>0</v>
      </c>
      <c r="H64">
        <v>0</v>
      </c>
      <c r="I64" t="s">
        <v>208</v>
      </c>
      <c r="J64">
        <v>21.5</v>
      </c>
      <c r="K64">
        <v>0</v>
      </c>
      <c r="L64">
        <v>0</v>
      </c>
      <c r="M64" t="s">
        <v>207</v>
      </c>
    </row>
    <row r="65" spans="1:13" x14ac:dyDescent="0.25">
      <c r="A65" s="64">
        <v>45629</v>
      </c>
      <c r="B65" t="s">
        <v>232</v>
      </c>
      <c r="C65">
        <v>10</v>
      </c>
      <c r="D65" t="s">
        <v>206</v>
      </c>
      <c r="E65">
        <v>0.5</v>
      </c>
      <c r="F65">
        <v>9</v>
      </c>
      <c r="G65">
        <v>8.5</v>
      </c>
      <c r="H65">
        <v>113.4</v>
      </c>
      <c r="I65" t="s">
        <v>208</v>
      </c>
      <c r="J65">
        <v>21.5</v>
      </c>
      <c r="K65">
        <v>215</v>
      </c>
      <c r="L65">
        <v>0</v>
      </c>
      <c r="M65" t="s">
        <v>207</v>
      </c>
    </row>
    <row r="66" spans="1:13" x14ac:dyDescent="0.25">
      <c r="A66" s="64">
        <v>45630</v>
      </c>
      <c r="B66" t="s">
        <v>232</v>
      </c>
      <c r="C66">
        <v>11</v>
      </c>
      <c r="D66" t="s">
        <v>206</v>
      </c>
      <c r="E66">
        <v>0.5</v>
      </c>
      <c r="F66">
        <v>11.77</v>
      </c>
      <c r="G66">
        <v>11.27</v>
      </c>
      <c r="H66">
        <v>98.2</v>
      </c>
      <c r="I66" t="s">
        <v>208</v>
      </c>
      <c r="J66">
        <v>21.5</v>
      </c>
      <c r="K66">
        <v>236.5</v>
      </c>
      <c r="L66">
        <v>0</v>
      </c>
      <c r="M66" t="s">
        <v>207</v>
      </c>
    </row>
    <row r="67" spans="1:13" x14ac:dyDescent="0.25">
      <c r="A67" s="64">
        <v>45631</v>
      </c>
      <c r="B67" t="s">
        <v>232</v>
      </c>
      <c r="C67">
        <v>17</v>
      </c>
      <c r="D67" t="s">
        <v>206</v>
      </c>
      <c r="E67">
        <v>0.5</v>
      </c>
      <c r="F67">
        <v>11.28</v>
      </c>
      <c r="G67">
        <v>10.78</v>
      </c>
      <c r="H67">
        <v>166.2</v>
      </c>
      <c r="I67" t="s">
        <v>208</v>
      </c>
      <c r="J67">
        <v>21.5</v>
      </c>
      <c r="K67">
        <v>365.5</v>
      </c>
      <c r="L67">
        <v>2.8</v>
      </c>
      <c r="M67" t="s">
        <v>207</v>
      </c>
    </row>
    <row r="68" spans="1:13" x14ac:dyDescent="0.25">
      <c r="A68" s="64">
        <v>45632</v>
      </c>
      <c r="B68" t="s">
        <v>232</v>
      </c>
      <c r="C68">
        <v>11</v>
      </c>
      <c r="D68" t="s">
        <v>206</v>
      </c>
      <c r="E68">
        <v>0.5</v>
      </c>
      <c r="F68">
        <v>10.82</v>
      </c>
      <c r="G68">
        <v>10.32</v>
      </c>
      <c r="H68">
        <v>131.19999999999999</v>
      </c>
      <c r="I68" t="s">
        <v>208</v>
      </c>
      <c r="J68">
        <v>21.5</v>
      </c>
      <c r="K68">
        <v>236.5</v>
      </c>
      <c r="L68">
        <v>0</v>
      </c>
      <c r="M68" t="s">
        <v>207</v>
      </c>
    </row>
    <row r="69" spans="1:13" x14ac:dyDescent="0.25">
      <c r="A69" s="64">
        <v>45634</v>
      </c>
      <c r="B69" t="s">
        <v>232</v>
      </c>
      <c r="C69">
        <v>10</v>
      </c>
      <c r="D69" t="s">
        <v>206</v>
      </c>
      <c r="E69">
        <v>0.35</v>
      </c>
      <c r="F69">
        <v>10.8</v>
      </c>
      <c r="G69">
        <v>10.450000000000001</v>
      </c>
      <c r="H69">
        <v>118</v>
      </c>
      <c r="I69" t="s">
        <v>208</v>
      </c>
      <c r="J69">
        <v>21.5</v>
      </c>
      <c r="K69">
        <v>215</v>
      </c>
      <c r="L69">
        <v>0</v>
      </c>
      <c r="M69" t="s">
        <v>207</v>
      </c>
    </row>
    <row r="70" spans="1:13" x14ac:dyDescent="0.25">
      <c r="A70" s="64">
        <v>45635</v>
      </c>
      <c r="B70" t="s">
        <v>232</v>
      </c>
      <c r="C70">
        <v>17</v>
      </c>
      <c r="D70" t="s">
        <v>206</v>
      </c>
      <c r="E70">
        <v>0.5</v>
      </c>
      <c r="F70">
        <v>10.87</v>
      </c>
      <c r="G70">
        <v>10.37</v>
      </c>
      <c r="H70">
        <v>131.30000000000001</v>
      </c>
      <c r="I70" t="s">
        <v>208</v>
      </c>
      <c r="J70">
        <v>21.5</v>
      </c>
      <c r="K70">
        <v>365.5</v>
      </c>
      <c r="L70">
        <v>5.6</v>
      </c>
      <c r="M70" t="s">
        <v>207</v>
      </c>
    </row>
    <row r="71" spans="1:13" x14ac:dyDescent="0.25">
      <c r="A71" s="64">
        <v>45636</v>
      </c>
      <c r="B71" t="s">
        <v>232</v>
      </c>
      <c r="C71">
        <v>17</v>
      </c>
      <c r="D71" t="s">
        <v>206</v>
      </c>
      <c r="E71">
        <v>0.5</v>
      </c>
      <c r="F71">
        <v>12.23</v>
      </c>
      <c r="G71">
        <v>11.73</v>
      </c>
      <c r="H71">
        <v>130.1</v>
      </c>
      <c r="I71" t="s">
        <v>208</v>
      </c>
      <c r="J71">
        <v>21.5</v>
      </c>
      <c r="K71">
        <v>365.5</v>
      </c>
      <c r="L71">
        <v>11.2</v>
      </c>
      <c r="M71" t="s">
        <v>207</v>
      </c>
    </row>
    <row r="72" spans="1:13" x14ac:dyDescent="0.25">
      <c r="A72" s="64">
        <v>45637</v>
      </c>
      <c r="B72" t="s">
        <v>232</v>
      </c>
      <c r="C72">
        <v>14</v>
      </c>
      <c r="D72" t="s">
        <v>206</v>
      </c>
      <c r="E72">
        <v>0.5</v>
      </c>
      <c r="F72">
        <v>12.15</v>
      </c>
      <c r="G72">
        <v>11.65</v>
      </c>
      <c r="H72">
        <v>116.4</v>
      </c>
      <c r="I72" t="s">
        <v>208</v>
      </c>
      <c r="J72">
        <v>21.5</v>
      </c>
      <c r="K72">
        <v>301</v>
      </c>
      <c r="L72">
        <v>2.8</v>
      </c>
      <c r="M72" t="s">
        <v>207</v>
      </c>
    </row>
    <row r="73" spans="1:13" x14ac:dyDescent="0.25">
      <c r="A73" s="64">
        <v>45638</v>
      </c>
      <c r="B73" t="s">
        <v>232</v>
      </c>
      <c r="C73">
        <v>8</v>
      </c>
      <c r="D73" t="s">
        <v>206</v>
      </c>
      <c r="E73">
        <v>0</v>
      </c>
      <c r="F73">
        <v>5.8</v>
      </c>
      <c r="G73">
        <v>5.8</v>
      </c>
      <c r="H73">
        <v>85.8</v>
      </c>
      <c r="I73" t="s">
        <v>208</v>
      </c>
      <c r="J73">
        <v>21.5</v>
      </c>
      <c r="K73">
        <v>172</v>
      </c>
      <c r="L73">
        <v>8.4</v>
      </c>
      <c r="M73" t="s">
        <v>207</v>
      </c>
    </row>
    <row r="74" spans="1:13" x14ac:dyDescent="0.25">
      <c r="A74" s="64">
        <v>45639</v>
      </c>
      <c r="B74" t="s">
        <v>232</v>
      </c>
      <c r="C74">
        <v>0</v>
      </c>
      <c r="D74" t="s">
        <v>206</v>
      </c>
      <c r="E74">
        <v>0</v>
      </c>
      <c r="F74">
        <v>0</v>
      </c>
      <c r="G74">
        <v>0</v>
      </c>
      <c r="H74">
        <v>0</v>
      </c>
      <c r="I74" t="s">
        <v>208</v>
      </c>
      <c r="J74">
        <v>21.5</v>
      </c>
      <c r="K74">
        <v>0</v>
      </c>
      <c r="L74">
        <v>0</v>
      </c>
      <c r="M74" t="s">
        <v>207</v>
      </c>
    </row>
    <row r="75" spans="1:13" x14ac:dyDescent="0.25">
      <c r="A75" s="64">
        <v>45640</v>
      </c>
      <c r="B75" t="s">
        <v>232</v>
      </c>
      <c r="C75">
        <v>11</v>
      </c>
      <c r="D75" t="s">
        <v>206</v>
      </c>
      <c r="E75">
        <v>0.5</v>
      </c>
      <c r="F75">
        <v>9.75</v>
      </c>
      <c r="G75">
        <v>9.25</v>
      </c>
      <c r="H75">
        <v>127.2</v>
      </c>
      <c r="I75" t="s">
        <v>208</v>
      </c>
      <c r="J75">
        <v>21.5</v>
      </c>
      <c r="K75">
        <v>236.5</v>
      </c>
      <c r="L75">
        <v>2.8</v>
      </c>
      <c r="M75" t="s">
        <v>207</v>
      </c>
    </row>
    <row r="76" spans="1:13" x14ac:dyDescent="0.25">
      <c r="A76" s="64">
        <v>45641</v>
      </c>
      <c r="B76" t="s">
        <v>232</v>
      </c>
      <c r="C76">
        <v>11</v>
      </c>
      <c r="D76" t="s">
        <v>206</v>
      </c>
      <c r="E76">
        <v>0.5</v>
      </c>
      <c r="F76">
        <v>10.62</v>
      </c>
      <c r="G76">
        <v>10.119999999999999</v>
      </c>
      <c r="H76">
        <v>105.9</v>
      </c>
      <c r="I76" t="s">
        <v>208</v>
      </c>
      <c r="J76">
        <v>21.5</v>
      </c>
      <c r="K76">
        <v>236.5</v>
      </c>
      <c r="L76">
        <v>0</v>
      </c>
      <c r="M76" t="s">
        <v>207</v>
      </c>
    </row>
    <row r="77" spans="1:13" x14ac:dyDescent="0.25">
      <c r="A77" s="64">
        <v>45628</v>
      </c>
      <c r="B77" t="s">
        <v>232</v>
      </c>
      <c r="C77">
        <v>9</v>
      </c>
      <c r="D77" t="s">
        <v>269</v>
      </c>
      <c r="E77">
        <v>0.5</v>
      </c>
      <c r="F77">
        <v>10.67</v>
      </c>
      <c r="G77">
        <v>10.17</v>
      </c>
      <c r="H77">
        <v>115.7</v>
      </c>
      <c r="I77" t="s">
        <v>372</v>
      </c>
      <c r="J77">
        <v>21.5</v>
      </c>
      <c r="K77">
        <v>193.5</v>
      </c>
      <c r="L77">
        <v>2.8</v>
      </c>
      <c r="M77" t="s">
        <v>358</v>
      </c>
    </row>
    <row r="78" spans="1:13" x14ac:dyDescent="0.25">
      <c r="A78" s="64">
        <v>45629</v>
      </c>
      <c r="B78" t="s">
        <v>232</v>
      </c>
      <c r="C78">
        <v>14</v>
      </c>
      <c r="D78" t="s">
        <v>269</v>
      </c>
      <c r="E78">
        <v>0.5</v>
      </c>
      <c r="F78">
        <v>10.85</v>
      </c>
      <c r="G78">
        <v>10.35</v>
      </c>
      <c r="H78">
        <v>106</v>
      </c>
      <c r="I78" t="s">
        <v>372</v>
      </c>
      <c r="J78">
        <v>21.5</v>
      </c>
      <c r="K78">
        <v>301</v>
      </c>
      <c r="L78">
        <v>5.6</v>
      </c>
      <c r="M78" t="s">
        <v>358</v>
      </c>
    </row>
    <row r="79" spans="1:13" x14ac:dyDescent="0.25">
      <c r="A79" s="64">
        <v>45630</v>
      </c>
      <c r="B79" t="s">
        <v>232</v>
      </c>
      <c r="C79">
        <v>13</v>
      </c>
      <c r="D79" t="s">
        <v>269</v>
      </c>
      <c r="E79">
        <v>0.5</v>
      </c>
      <c r="F79">
        <v>10.52</v>
      </c>
      <c r="G79">
        <v>10.02</v>
      </c>
      <c r="H79">
        <v>118.7</v>
      </c>
      <c r="I79" t="s">
        <v>372</v>
      </c>
      <c r="J79">
        <v>21.5</v>
      </c>
      <c r="K79">
        <v>279.5</v>
      </c>
      <c r="L79">
        <v>0</v>
      </c>
      <c r="M79" t="s">
        <v>358</v>
      </c>
    </row>
    <row r="80" spans="1:13" x14ac:dyDescent="0.25">
      <c r="A80" s="64">
        <v>45631</v>
      </c>
      <c r="B80" t="s">
        <v>232</v>
      </c>
      <c r="C80">
        <v>11</v>
      </c>
      <c r="D80" t="s">
        <v>269</v>
      </c>
      <c r="E80">
        <v>0.5</v>
      </c>
      <c r="F80">
        <v>10.25</v>
      </c>
      <c r="G80">
        <v>9.75</v>
      </c>
      <c r="H80">
        <v>129.6</v>
      </c>
      <c r="I80" t="s">
        <v>372</v>
      </c>
      <c r="J80">
        <v>21.5</v>
      </c>
      <c r="K80">
        <v>236.5</v>
      </c>
      <c r="L80">
        <v>0</v>
      </c>
      <c r="M80" t="s">
        <v>358</v>
      </c>
    </row>
    <row r="81" spans="1:13" x14ac:dyDescent="0.25">
      <c r="A81" s="64">
        <v>45632</v>
      </c>
      <c r="B81" t="s">
        <v>232</v>
      </c>
      <c r="C81">
        <v>13</v>
      </c>
      <c r="D81" t="s">
        <v>269</v>
      </c>
      <c r="E81">
        <v>0.5</v>
      </c>
      <c r="F81">
        <v>11</v>
      </c>
      <c r="G81">
        <v>10.5</v>
      </c>
      <c r="H81">
        <v>134</v>
      </c>
      <c r="I81" t="s">
        <v>372</v>
      </c>
      <c r="J81">
        <v>21.5</v>
      </c>
      <c r="K81">
        <v>279.5</v>
      </c>
      <c r="L81">
        <v>2.8</v>
      </c>
      <c r="M81" t="s">
        <v>358</v>
      </c>
    </row>
    <row r="82" spans="1:13" x14ac:dyDescent="0.25">
      <c r="A82" s="64">
        <v>45635</v>
      </c>
      <c r="B82" t="s">
        <v>232</v>
      </c>
      <c r="C82">
        <v>14</v>
      </c>
      <c r="D82" t="s">
        <v>269</v>
      </c>
      <c r="E82">
        <v>0.5</v>
      </c>
      <c r="F82">
        <v>10.5</v>
      </c>
      <c r="G82">
        <v>10</v>
      </c>
      <c r="H82">
        <v>96.7</v>
      </c>
      <c r="I82" t="s">
        <v>372</v>
      </c>
      <c r="J82">
        <v>21.5</v>
      </c>
      <c r="K82">
        <v>301</v>
      </c>
      <c r="L82">
        <v>8.4</v>
      </c>
      <c r="M82" t="s">
        <v>358</v>
      </c>
    </row>
    <row r="83" spans="1:13" x14ac:dyDescent="0.25">
      <c r="A83" s="64">
        <v>45636</v>
      </c>
      <c r="B83" t="s">
        <v>232</v>
      </c>
      <c r="C83">
        <v>15</v>
      </c>
      <c r="D83" t="s">
        <v>269</v>
      </c>
      <c r="E83">
        <v>0.5</v>
      </c>
      <c r="F83">
        <v>10.33</v>
      </c>
      <c r="G83">
        <v>9.83</v>
      </c>
      <c r="H83">
        <v>96</v>
      </c>
      <c r="I83" t="s">
        <v>372</v>
      </c>
      <c r="J83">
        <v>21.5</v>
      </c>
      <c r="K83">
        <v>322.5</v>
      </c>
      <c r="L83">
        <v>2.8</v>
      </c>
      <c r="M83" t="s">
        <v>358</v>
      </c>
    </row>
    <row r="84" spans="1:13" x14ac:dyDescent="0.25">
      <c r="A84" s="64">
        <v>45637</v>
      </c>
      <c r="B84" t="s">
        <v>232</v>
      </c>
      <c r="C84">
        <v>13</v>
      </c>
      <c r="D84" t="s">
        <v>269</v>
      </c>
      <c r="E84">
        <v>0.5</v>
      </c>
      <c r="F84">
        <v>10.68</v>
      </c>
      <c r="G84">
        <v>10.18</v>
      </c>
      <c r="H84">
        <v>113.1</v>
      </c>
      <c r="I84" t="s">
        <v>372</v>
      </c>
      <c r="J84">
        <v>21.5</v>
      </c>
      <c r="K84">
        <v>279.5</v>
      </c>
      <c r="L84">
        <v>5.6</v>
      </c>
      <c r="M84" t="s">
        <v>358</v>
      </c>
    </row>
    <row r="85" spans="1:13" x14ac:dyDescent="0.25">
      <c r="A85" s="64">
        <v>45638</v>
      </c>
      <c r="B85" t="s">
        <v>232</v>
      </c>
      <c r="C85">
        <v>13</v>
      </c>
      <c r="D85" t="s">
        <v>269</v>
      </c>
      <c r="E85">
        <v>0.5</v>
      </c>
      <c r="F85">
        <v>9.9700000000000006</v>
      </c>
      <c r="G85">
        <v>9.4700000000000006</v>
      </c>
      <c r="H85">
        <v>103.1</v>
      </c>
      <c r="I85" t="s">
        <v>372</v>
      </c>
      <c r="J85">
        <v>21.5</v>
      </c>
      <c r="K85">
        <v>279.5</v>
      </c>
      <c r="L85">
        <v>5.6</v>
      </c>
      <c r="M85" t="s">
        <v>358</v>
      </c>
    </row>
    <row r="86" spans="1:13" x14ac:dyDescent="0.25">
      <c r="A86" s="64">
        <v>45639</v>
      </c>
      <c r="B86" t="s">
        <v>232</v>
      </c>
      <c r="C86">
        <v>13</v>
      </c>
      <c r="D86" t="s">
        <v>269</v>
      </c>
      <c r="E86">
        <v>0.5</v>
      </c>
      <c r="F86">
        <v>9.92</v>
      </c>
      <c r="G86">
        <v>9.42</v>
      </c>
      <c r="H86">
        <v>112</v>
      </c>
      <c r="I86" t="s">
        <v>372</v>
      </c>
      <c r="J86">
        <v>21.5</v>
      </c>
      <c r="K86">
        <v>279.5</v>
      </c>
      <c r="L86">
        <v>5.6</v>
      </c>
      <c r="M86" t="s">
        <v>358</v>
      </c>
    </row>
    <row r="87" spans="1:13" x14ac:dyDescent="0.25">
      <c r="A87" s="64">
        <v>45628</v>
      </c>
      <c r="B87" t="s">
        <v>232</v>
      </c>
      <c r="C87">
        <v>14</v>
      </c>
      <c r="D87" t="s">
        <v>215</v>
      </c>
      <c r="E87">
        <v>0.5</v>
      </c>
      <c r="F87">
        <v>10.8</v>
      </c>
      <c r="G87">
        <v>10.3</v>
      </c>
      <c r="H87">
        <v>99.6</v>
      </c>
      <c r="I87" t="s">
        <v>217</v>
      </c>
      <c r="J87">
        <v>21.5</v>
      </c>
      <c r="K87">
        <v>301</v>
      </c>
      <c r="L87">
        <v>0</v>
      </c>
      <c r="M87" t="s">
        <v>216</v>
      </c>
    </row>
    <row r="88" spans="1:13" x14ac:dyDescent="0.25">
      <c r="A88" s="64">
        <v>45629</v>
      </c>
      <c r="B88" t="s">
        <v>232</v>
      </c>
      <c r="C88">
        <v>18</v>
      </c>
      <c r="D88" t="s">
        <v>215</v>
      </c>
      <c r="E88">
        <v>0.5</v>
      </c>
      <c r="F88">
        <v>9.98</v>
      </c>
      <c r="G88">
        <v>9.48</v>
      </c>
      <c r="H88">
        <v>127.5</v>
      </c>
      <c r="I88" t="s">
        <v>217</v>
      </c>
      <c r="J88">
        <v>21.5</v>
      </c>
      <c r="K88">
        <v>387</v>
      </c>
      <c r="L88">
        <v>8.4</v>
      </c>
      <c r="M88" t="s">
        <v>216</v>
      </c>
    </row>
    <row r="89" spans="1:13" x14ac:dyDescent="0.25">
      <c r="A89" s="64">
        <v>45630</v>
      </c>
      <c r="B89" t="s">
        <v>232</v>
      </c>
      <c r="C89">
        <v>12</v>
      </c>
      <c r="D89" t="s">
        <v>215</v>
      </c>
      <c r="E89">
        <v>0.5</v>
      </c>
      <c r="F89">
        <v>9.9499999999999993</v>
      </c>
      <c r="G89">
        <v>9.4499999999999993</v>
      </c>
      <c r="H89">
        <v>102</v>
      </c>
      <c r="I89" t="s">
        <v>217</v>
      </c>
      <c r="J89">
        <v>21.5</v>
      </c>
      <c r="K89">
        <v>258</v>
      </c>
      <c r="L89">
        <v>11.2</v>
      </c>
      <c r="M89" t="s">
        <v>216</v>
      </c>
    </row>
    <row r="90" spans="1:13" x14ac:dyDescent="0.25">
      <c r="A90" s="64">
        <v>45631</v>
      </c>
      <c r="B90" t="s">
        <v>232</v>
      </c>
      <c r="C90">
        <v>10</v>
      </c>
      <c r="D90" t="s">
        <v>215</v>
      </c>
      <c r="E90">
        <v>0.5</v>
      </c>
      <c r="F90">
        <v>9.98</v>
      </c>
      <c r="G90">
        <v>9.48</v>
      </c>
      <c r="H90">
        <v>128</v>
      </c>
      <c r="I90" t="s">
        <v>217</v>
      </c>
      <c r="J90">
        <v>21.5</v>
      </c>
      <c r="K90">
        <v>215</v>
      </c>
      <c r="L90">
        <v>0</v>
      </c>
      <c r="M90" t="s">
        <v>216</v>
      </c>
    </row>
    <row r="91" spans="1:13" x14ac:dyDescent="0.25">
      <c r="A91" s="64">
        <v>45632</v>
      </c>
      <c r="B91" t="s">
        <v>232</v>
      </c>
      <c r="C91">
        <v>16</v>
      </c>
      <c r="D91" t="s">
        <v>215</v>
      </c>
      <c r="E91">
        <v>0.5</v>
      </c>
      <c r="F91">
        <v>10.52</v>
      </c>
      <c r="G91">
        <v>10.02</v>
      </c>
      <c r="H91">
        <v>113</v>
      </c>
      <c r="I91" t="s">
        <v>217</v>
      </c>
      <c r="J91">
        <v>21.5</v>
      </c>
      <c r="K91">
        <v>344</v>
      </c>
      <c r="L91">
        <v>2.8</v>
      </c>
      <c r="M91" t="s">
        <v>216</v>
      </c>
    </row>
    <row r="92" spans="1:13" x14ac:dyDescent="0.25">
      <c r="A92" s="64">
        <v>45635</v>
      </c>
      <c r="B92" t="s">
        <v>232</v>
      </c>
      <c r="C92">
        <v>13</v>
      </c>
      <c r="D92" t="s">
        <v>215</v>
      </c>
      <c r="E92">
        <v>0.5</v>
      </c>
      <c r="F92">
        <v>10.45</v>
      </c>
      <c r="G92">
        <v>9.9499999999999993</v>
      </c>
      <c r="H92">
        <v>109.4</v>
      </c>
      <c r="I92" t="s">
        <v>217</v>
      </c>
      <c r="J92">
        <v>21.5</v>
      </c>
      <c r="K92">
        <v>279.5</v>
      </c>
      <c r="L92">
        <v>0</v>
      </c>
      <c r="M92" t="s">
        <v>216</v>
      </c>
    </row>
    <row r="93" spans="1:13" x14ac:dyDescent="0.25">
      <c r="A93" s="64">
        <v>45636</v>
      </c>
      <c r="B93" t="s">
        <v>232</v>
      </c>
      <c r="C93">
        <v>15</v>
      </c>
      <c r="D93" t="s">
        <v>215</v>
      </c>
      <c r="E93">
        <v>0.5</v>
      </c>
      <c r="F93">
        <v>10.02</v>
      </c>
      <c r="G93">
        <v>9.52</v>
      </c>
      <c r="H93">
        <v>117.9</v>
      </c>
      <c r="I93" t="s">
        <v>217</v>
      </c>
      <c r="J93">
        <v>21.5</v>
      </c>
      <c r="K93">
        <v>322.5</v>
      </c>
      <c r="L93">
        <v>5.6</v>
      </c>
      <c r="M93" t="s">
        <v>216</v>
      </c>
    </row>
    <row r="94" spans="1:13" x14ac:dyDescent="0.25">
      <c r="A94" s="64">
        <v>45637</v>
      </c>
      <c r="B94" t="s">
        <v>232</v>
      </c>
      <c r="C94">
        <v>9</v>
      </c>
      <c r="D94" t="s">
        <v>215</v>
      </c>
      <c r="E94">
        <v>0.5</v>
      </c>
      <c r="F94">
        <v>9.8000000000000007</v>
      </c>
      <c r="G94">
        <v>9.3000000000000007</v>
      </c>
      <c r="H94">
        <v>109.6</v>
      </c>
      <c r="I94" t="s">
        <v>217</v>
      </c>
      <c r="J94">
        <v>21.5</v>
      </c>
      <c r="K94">
        <v>193.5</v>
      </c>
      <c r="L94">
        <v>0</v>
      </c>
      <c r="M94" t="s">
        <v>216</v>
      </c>
    </row>
    <row r="95" spans="1:13" x14ac:dyDescent="0.25">
      <c r="A95" s="64">
        <v>45638</v>
      </c>
      <c r="B95" t="s">
        <v>232</v>
      </c>
      <c r="C95">
        <v>11</v>
      </c>
      <c r="D95" t="s">
        <v>215</v>
      </c>
      <c r="E95">
        <v>0.5</v>
      </c>
      <c r="F95">
        <v>10.97</v>
      </c>
      <c r="G95">
        <v>10.47</v>
      </c>
      <c r="H95">
        <v>110.1</v>
      </c>
      <c r="I95" t="s">
        <v>217</v>
      </c>
      <c r="J95">
        <v>21.5</v>
      </c>
      <c r="K95">
        <v>236.5</v>
      </c>
      <c r="L95">
        <v>2.8</v>
      </c>
      <c r="M95" t="s">
        <v>216</v>
      </c>
    </row>
    <row r="96" spans="1:13" x14ac:dyDescent="0.25">
      <c r="A96" s="64">
        <v>45639</v>
      </c>
      <c r="B96" t="s">
        <v>232</v>
      </c>
      <c r="C96">
        <v>14</v>
      </c>
      <c r="D96" t="s">
        <v>215</v>
      </c>
      <c r="E96">
        <v>0.5</v>
      </c>
      <c r="F96">
        <v>10.82</v>
      </c>
      <c r="G96">
        <v>10.32</v>
      </c>
      <c r="H96">
        <v>131.5</v>
      </c>
      <c r="I96" t="s">
        <v>217</v>
      </c>
      <c r="J96">
        <v>21.5</v>
      </c>
      <c r="K96">
        <v>301</v>
      </c>
      <c r="L96">
        <v>0</v>
      </c>
      <c r="M96" t="s">
        <v>216</v>
      </c>
    </row>
    <row r="97" spans="1:13" x14ac:dyDescent="0.25">
      <c r="A97" s="64">
        <v>45628</v>
      </c>
      <c r="B97" t="s">
        <v>232</v>
      </c>
      <c r="C97">
        <v>12</v>
      </c>
      <c r="D97" t="s">
        <v>218</v>
      </c>
      <c r="E97">
        <v>0.5</v>
      </c>
      <c r="F97">
        <v>10</v>
      </c>
      <c r="G97">
        <v>9.5</v>
      </c>
      <c r="H97">
        <v>123.3</v>
      </c>
      <c r="I97" t="s">
        <v>371</v>
      </c>
      <c r="J97">
        <v>21.5</v>
      </c>
      <c r="K97">
        <v>258</v>
      </c>
      <c r="L97">
        <v>0</v>
      </c>
      <c r="M97" t="s">
        <v>219</v>
      </c>
    </row>
    <row r="98" spans="1:13" x14ac:dyDescent="0.25">
      <c r="A98" s="64">
        <v>45629</v>
      </c>
      <c r="B98" t="s">
        <v>232</v>
      </c>
      <c r="C98">
        <v>12</v>
      </c>
      <c r="D98" t="s">
        <v>218</v>
      </c>
      <c r="E98">
        <v>0.5</v>
      </c>
      <c r="F98">
        <v>10.9</v>
      </c>
      <c r="G98">
        <v>10.4</v>
      </c>
      <c r="H98">
        <v>123.8</v>
      </c>
      <c r="I98" t="s">
        <v>371</v>
      </c>
      <c r="J98">
        <v>21.5</v>
      </c>
      <c r="K98">
        <v>258</v>
      </c>
      <c r="L98">
        <v>2.8</v>
      </c>
      <c r="M98" t="s">
        <v>219</v>
      </c>
    </row>
    <row r="99" spans="1:13" x14ac:dyDescent="0.25">
      <c r="A99" s="64">
        <v>45630</v>
      </c>
      <c r="B99" t="s">
        <v>232</v>
      </c>
      <c r="C99">
        <v>11</v>
      </c>
      <c r="D99" t="s">
        <v>218</v>
      </c>
      <c r="E99">
        <v>0.5</v>
      </c>
      <c r="F99">
        <v>10.029999999999999</v>
      </c>
      <c r="G99">
        <v>9.5299999999999994</v>
      </c>
      <c r="H99">
        <v>121.7</v>
      </c>
      <c r="I99" t="s">
        <v>371</v>
      </c>
      <c r="J99">
        <v>21.5</v>
      </c>
      <c r="K99">
        <v>236.5</v>
      </c>
      <c r="L99">
        <v>0</v>
      </c>
      <c r="M99" t="s">
        <v>219</v>
      </c>
    </row>
    <row r="100" spans="1:13" x14ac:dyDescent="0.25">
      <c r="A100" s="64">
        <v>45631</v>
      </c>
      <c r="B100" t="s">
        <v>232</v>
      </c>
      <c r="C100">
        <v>16</v>
      </c>
      <c r="D100" t="s">
        <v>218</v>
      </c>
      <c r="E100">
        <v>0.5</v>
      </c>
      <c r="F100">
        <v>10.95</v>
      </c>
      <c r="G100">
        <v>10.45</v>
      </c>
      <c r="H100">
        <v>130.4</v>
      </c>
      <c r="I100" t="s">
        <v>371</v>
      </c>
      <c r="J100">
        <v>21.5</v>
      </c>
      <c r="K100">
        <v>344</v>
      </c>
      <c r="L100">
        <v>8.4</v>
      </c>
      <c r="M100" t="s">
        <v>219</v>
      </c>
    </row>
    <row r="101" spans="1:13" x14ac:dyDescent="0.25">
      <c r="A101" s="64">
        <v>45632</v>
      </c>
      <c r="B101" t="s">
        <v>232</v>
      </c>
      <c r="C101">
        <v>10</v>
      </c>
      <c r="D101" t="s">
        <v>218</v>
      </c>
      <c r="E101">
        <v>0.5</v>
      </c>
      <c r="F101">
        <v>10.62</v>
      </c>
      <c r="G101">
        <v>10.119999999999999</v>
      </c>
      <c r="H101">
        <v>128.6</v>
      </c>
      <c r="I101" t="s">
        <v>371</v>
      </c>
      <c r="J101">
        <v>21.5</v>
      </c>
      <c r="K101">
        <v>215</v>
      </c>
      <c r="L101">
        <v>5.6</v>
      </c>
      <c r="M101" t="s">
        <v>219</v>
      </c>
    </row>
    <row r="102" spans="1:13" x14ac:dyDescent="0.25">
      <c r="A102" s="64">
        <v>45635</v>
      </c>
      <c r="B102" t="s">
        <v>232</v>
      </c>
      <c r="C102">
        <v>16</v>
      </c>
      <c r="D102" t="s">
        <v>218</v>
      </c>
      <c r="E102">
        <v>0.5</v>
      </c>
      <c r="F102">
        <v>10.7</v>
      </c>
      <c r="G102">
        <v>10.199999999999999</v>
      </c>
      <c r="H102">
        <v>128.1</v>
      </c>
      <c r="I102" t="s">
        <v>371</v>
      </c>
      <c r="J102">
        <v>21.5</v>
      </c>
      <c r="K102">
        <v>344</v>
      </c>
      <c r="L102">
        <v>2.8</v>
      </c>
      <c r="M102" t="s">
        <v>219</v>
      </c>
    </row>
    <row r="103" spans="1:13" x14ac:dyDescent="0.25">
      <c r="A103" s="64">
        <v>45636</v>
      </c>
      <c r="B103" t="s">
        <v>232</v>
      </c>
      <c r="C103">
        <v>9</v>
      </c>
      <c r="D103" t="s">
        <v>218</v>
      </c>
      <c r="E103">
        <v>0.5</v>
      </c>
      <c r="F103">
        <v>10.32</v>
      </c>
      <c r="G103">
        <v>9.82</v>
      </c>
      <c r="H103">
        <v>92.8</v>
      </c>
      <c r="I103" t="s">
        <v>371</v>
      </c>
      <c r="J103">
        <v>21.5</v>
      </c>
      <c r="K103">
        <v>193.5</v>
      </c>
      <c r="L103">
        <v>2.8</v>
      </c>
      <c r="M103" t="s">
        <v>219</v>
      </c>
    </row>
    <row r="104" spans="1:13" x14ac:dyDescent="0.25">
      <c r="A104" s="64">
        <v>45637</v>
      </c>
      <c r="B104" t="s">
        <v>232</v>
      </c>
      <c r="C104">
        <v>15</v>
      </c>
      <c r="D104" t="s">
        <v>218</v>
      </c>
      <c r="E104">
        <v>0.5</v>
      </c>
      <c r="F104">
        <v>10.75</v>
      </c>
      <c r="G104">
        <v>10.25</v>
      </c>
      <c r="H104">
        <v>128</v>
      </c>
      <c r="I104" t="s">
        <v>371</v>
      </c>
      <c r="J104">
        <v>21.5</v>
      </c>
      <c r="K104">
        <v>322.5</v>
      </c>
      <c r="L104">
        <v>0</v>
      </c>
      <c r="M104" t="s">
        <v>219</v>
      </c>
    </row>
    <row r="105" spans="1:13" x14ac:dyDescent="0.25">
      <c r="A105" s="64">
        <v>45638</v>
      </c>
      <c r="B105" t="s">
        <v>232</v>
      </c>
      <c r="C105">
        <v>12</v>
      </c>
      <c r="D105" t="s">
        <v>218</v>
      </c>
      <c r="E105">
        <v>0.5</v>
      </c>
      <c r="F105">
        <v>10.77</v>
      </c>
      <c r="G105">
        <v>10.27</v>
      </c>
      <c r="H105">
        <v>145</v>
      </c>
      <c r="I105" t="s">
        <v>371</v>
      </c>
      <c r="J105">
        <v>21.5</v>
      </c>
      <c r="K105">
        <v>258</v>
      </c>
      <c r="L105">
        <v>5.6</v>
      </c>
      <c r="M105" t="s">
        <v>219</v>
      </c>
    </row>
    <row r="106" spans="1:13" x14ac:dyDescent="0.25">
      <c r="A106" s="64">
        <v>45639</v>
      </c>
      <c r="B106" t="s">
        <v>232</v>
      </c>
      <c r="C106">
        <v>10</v>
      </c>
      <c r="D106" t="s">
        <v>218</v>
      </c>
      <c r="E106">
        <v>0.5</v>
      </c>
      <c r="F106">
        <v>10.029999999999999</v>
      </c>
      <c r="G106">
        <v>9.5299999999999994</v>
      </c>
      <c r="H106">
        <v>121.5</v>
      </c>
      <c r="I106" t="s">
        <v>371</v>
      </c>
      <c r="J106">
        <v>21.5</v>
      </c>
      <c r="K106">
        <v>215</v>
      </c>
      <c r="L106">
        <v>5.6</v>
      </c>
      <c r="M106" t="s">
        <v>219</v>
      </c>
    </row>
  </sheetData>
  <phoneticPr fontId="44" type="noConversion"/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6597A-0DE3-46AC-8AA7-2C2CBDD47468}">
  <sheetPr codeName="Sheet23"/>
  <dimension ref="A1:K17"/>
  <sheetViews>
    <sheetView showGridLines="0" workbookViewId="0">
      <selection activeCell="J1" sqref="J1"/>
    </sheetView>
  </sheetViews>
  <sheetFormatPr defaultRowHeight="15" x14ac:dyDescent="0.25"/>
  <cols>
    <col min="1" max="1" width="31.28515625" bestFit="1" customWidth="1"/>
    <col min="2" max="2" width="16.5703125" bestFit="1" customWidth="1"/>
    <col min="3" max="3" width="12" bestFit="1" customWidth="1"/>
    <col min="4" max="4" width="18.42578125" bestFit="1" customWidth="1"/>
    <col min="5" max="5" width="13.42578125" bestFit="1" customWidth="1"/>
    <col min="6" max="6" width="11.42578125" bestFit="1" customWidth="1"/>
    <col min="7" max="7" width="16" bestFit="1" customWidth="1"/>
    <col min="8" max="8" width="8.7109375" bestFit="1" customWidth="1"/>
    <col min="9" max="10" width="18.140625" bestFit="1" customWidth="1"/>
    <col min="11" max="11" width="10.42578125" bestFit="1" customWidth="1"/>
  </cols>
  <sheetData>
    <row r="1" spans="1:11" x14ac:dyDescent="0.25">
      <c r="A1" t="s">
        <v>233</v>
      </c>
      <c r="B1" t="s">
        <v>234</v>
      </c>
      <c r="C1" t="s">
        <v>235</v>
      </c>
      <c r="D1" t="s">
        <v>236</v>
      </c>
      <c r="E1" t="s">
        <v>30</v>
      </c>
      <c r="F1" t="s">
        <v>32</v>
      </c>
      <c r="G1" t="s">
        <v>237</v>
      </c>
      <c r="H1" t="s">
        <v>28</v>
      </c>
      <c r="I1" t="s">
        <v>29</v>
      </c>
      <c r="J1" t="s">
        <v>34</v>
      </c>
      <c r="K1" t="s">
        <v>238</v>
      </c>
    </row>
    <row r="2" spans="1:11" x14ac:dyDescent="0.25">
      <c r="A2" t="s">
        <v>227</v>
      </c>
      <c r="B2">
        <v>185</v>
      </c>
      <c r="C2">
        <v>2</v>
      </c>
      <c r="D2">
        <v>370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 t="s">
        <v>239</v>
      </c>
    </row>
    <row r="3" spans="1:11" x14ac:dyDescent="0.25">
      <c r="A3" t="s">
        <v>214</v>
      </c>
      <c r="B3">
        <v>185</v>
      </c>
      <c r="C3">
        <v>2</v>
      </c>
      <c r="D3">
        <v>370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 t="s">
        <v>239</v>
      </c>
    </row>
    <row r="4" spans="1:11" hidden="1" x14ac:dyDescent="0.25">
      <c r="A4" t="s">
        <v>115</v>
      </c>
      <c r="B4">
        <v>92.5</v>
      </c>
      <c r="C4">
        <v>2</v>
      </c>
      <c r="D4">
        <v>185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 t="s">
        <v>240</v>
      </c>
    </row>
    <row r="5" spans="1:11" hidden="1" x14ac:dyDescent="0.25">
      <c r="A5" t="s">
        <v>51</v>
      </c>
      <c r="B5">
        <v>92.5</v>
      </c>
      <c r="C5">
        <v>2</v>
      </c>
      <c r="D5">
        <v>185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 t="s">
        <v>240</v>
      </c>
    </row>
    <row r="6" spans="1:11" hidden="1" x14ac:dyDescent="0.25">
      <c r="A6" t="s">
        <v>120</v>
      </c>
      <c r="B6">
        <v>92.5</v>
      </c>
      <c r="C6">
        <v>2</v>
      </c>
      <c r="D6">
        <v>185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 t="s">
        <v>240</v>
      </c>
    </row>
    <row r="7" spans="1:11" x14ac:dyDescent="0.25">
      <c r="A7" t="s">
        <v>372</v>
      </c>
      <c r="B7">
        <v>185</v>
      </c>
      <c r="C7">
        <v>2</v>
      </c>
      <c r="D7">
        <v>370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 t="s">
        <v>239</v>
      </c>
    </row>
    <row r="8" spans="1:11" x14ac:dyDescent="0.25">
      <c r="A8" t="s">
        <v>112</v>
      </c>
      <c r="B8">
        <v>185</v>
      </c>
      <c r="C8">
        <v>2</v>
      </c>
      <c r="D8">
        <v>370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 t="s">
        <v>239</v>
      </c>
    </row>
    <row r="9" spans="1:11" hidden="1" x14ac:dyDescent="0.25">
      <c r="A9" t="s">
        <v>112</v>
      </c>
      <c r="B9">
        <v>92.5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 t="s">
        <v>240</v>
      </c>
    </row>
    <row r="10" spans="1:11" hidden="1" x14ac:dyDescent="0.25">
      <c r="A10" t="s">
        <v>109</v>
      </c>
      <c r="B10">
        <v>92.5</v>
      </c>
      <c r="C10">
        <v>1</v>
      </c>
      <c r="D10">
        <v>92.5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 t="s">
        <v>240</v>
      </c>
    </row>
    <row r="11" spans="1:11" x14ac:dyDescent="0.25">
      <c r="A11" t="s">
        <v>217</v>
      </c>
      <c r="B11">
        <v>185</v>
      </c>
      <c r="C11">
        <v>2</v>
      </c>
      <c r="D11">
        <v>370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 t="s">
        <v>239</v>
      </c>
    </row>
    <row r="12" spans="1:11" x14ac:dyDescent="0.25">
      <c r="A12" t="s">
        <v>224</v>
      </c>
      <c r="B12">
        <v>185</v>
      </c>
      <c r="C12">
        <v>2</v>
      </c>
      <c r="D12">
        <v>370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 t="s">
        <v>239</v>
      </c>
    </row>
    <row r="13" spans="1:11" x14ac:dyDescent="0.25">
      <c r="A13" t="s">
        <v>211</v>
      </c>
      <c r="B13">
        <v>185</v>
      </c>
      <c r="C13">
        <v>2</v>
      </c>
      <c r="D13">
        <v>370</v>
      </c>
      <c r="E13">
        <v>0</v>
      </c>
      <c r="F13">
        <v>0</v>
      </c>
      <c r="G13">
        <v>0</v>
      </c>
      <c r="H13">
        <v>0</v>
      </c>
      <c r="I13">
        <v>0</v>
      </c>
      <c r="J13">
        <v>250</v>
      </c>
      <c r="K13" t="s">
        <v>239</v>
      </c>
    </row>
    <row r="14" spans="1:11" x14ac:dyDescent="0.25">
      <c r="A14" t="s">
        <v>360</v>
      </c>
      <c r="B14">
        <v>185</v>
      </c>
      <c r="C14">
        <v>1</v>
      </c>
      <c r="D14">
        <v>259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 t="s">
        <v>239</v>
      </c>
    </row>
    <row r="15" spans="1:11" hidden="1" x14ac:dyDescent="0.25">
      <c r="A15" t="s">
        <v>221</v>
      </c>
      <c r="B15">
        <v>92.5</v>
      </c>
      <c r="C15">
        <v>1</v>
      </c>
      <c r="D15">
        <v>92.5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240</v>
      </c>
    </row>
    <row r="16" spans="1:11" x14ac:dyDescent="0.25">
      <c r="A16" t="s">
        <v>371</v>
      </c>
      <c r="B16">
        <v>185</v>
      </c>
      <c r="C16">
        <v>2</v>
      </c>
      <c r="D16">
        <v>370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239</v>
      </c>
    </row>
    <row r="17" spans="1:11" x14ac:dyDescent="0.25">
      <c r="A17" t="s">
        <v>208</v>
      </c>
      <c r="B17">
        <v>185</v>
      </c>
      <c r="C17">
        <v>2</v>
      </c>
      <c r="D17">
        <v>370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239</v>
      </c>
    </row>
  </sheetData>
  <phoneticPr fontId="44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DB9A7-E8E8-48B0-A667-2ABD7E504F53}">
  <sheetPr codeName="Sheet22"/>
  <dimension ref="A1:C11"/>
  <sheetViews>
    <sheetView showGridLines="0" showRowColHeaders="0" workbookViewId="0">
      <selection activeCell="C25" sqref="C25"/>
    </sheetView>
  </sheetViews>
  <sheetFormatPr defaultRowHeight="15" x14ac:dyDescent="0.25"/>
  <cols>
    <col min="1" max="1" width="31.28515625" bestFit="1" customWidth="1"/>
    <col min="2" max="2" width="8.140625" bestFit="1" customWidth="1"/>
    <col min="3" max="3" width="34.42578125" bestFit="1" customWidth="1"/>
  </cols>
  <sheetData>
    <row r="1" spans="1:3" x14ac:dyDescent="0.25">
      <c r="A1" t="s">
        <v>102</v>
      </c>
      <c r="B1" t="s">
        <v>107</v>
      </c>
      <c r="C1" t="s">
        <v>106</v>
      </c>
    </row>
    <row r="2" spans="1:3" x14ac:dyDescent="0.25">
      <c r="A2" t="s">
        <v>360</v>
      </c>
      <c r="B2">
        <v>10029</v>
      </c>
      <c r="C2" t="s">
        <v>370</v>
      </c>
    </row>
    <row r="3" spans="1:3" x14ac:dyDescent="0.25">
      <c r="A3" t="s">
        <v>112</v>
      </c>
      <c r="B3">
        <v>1083</v>
      </c>
      <c r="C3" t="s">
        <v>114</v>
      </c>
    </row>
    <row r="4" spans="1:3" x14ac:dyDescent="0.25">
      <c r="A4" t="s">
        <v>211</v>
      </c>
      <c r="B4">
        <v>1091</v>
      </c>
      <c r="C4" t="s">
        <v>241</v>
      </c>
    </row>
    <row r="5" spans="1:3" x14ac:dyDescent="0.25">
      <c r="A5" t="s">
        <v>217</v>
      </c>
      <c r="B5">
        <v>10024</v>
      </c>
      <c r="C5" t="s">
        <v>242</v>
      </c>
    </row>
    <row r="6" spans="1:3" x14ac:dyDescent="0.25">
      <c r="A6" t="s">
        <v>214</v>
      </c>
      <c r="B6">
        <v>1089</v>
      </c>
      <c r="C6" t="s">
        <v>243</v>
      </c>
    </row>
    <row r="7" spans="1:3" x14ac:dyDescent="0.25">
      <c r="A7" t="s">
        <v>224</v>
      </c>
      <c r="B7">
        <v>1087</v>
      </c>
      <c r="C7" t="s">
        <v>245</v>
      </c>
    </row>
    <row r="8" spans="1:3" x14ac:dyDescent="0.25">
      <c r="A8" t="s">
        <v>208</v>
      </c>
      <c r="B8">
        <v>10027</v>
      </c>
      <c r="C8" t="s">
        <v>246</v>
      </c>
    </row>
    <row r="9" spans="1:3" x14ac:dyDescent="0.25">
      <c r="A9" t="s">
        <v>227</v>
      </c>
      <c r="B9">
        <v>1003</v>
      </c>
      <c r="C9" t="s">
        <v>247</v>
      </c>
    </row>
    <row r="10" spans="1:3" x14ac:dyDescent="0.25">
      <c r="A10" t="s">
        <v>371</v>
      </c>
      <c r="B10">
        <v>10025</v>
      </c>
      <c r="C10" t="s">
        <v>248</v>
      </c>
    </row>
    <row r="11" spans="1:3" x14ac:dyDescent="0.25">
      <c r="A11" t="s">
        <v>372</v>
      </c>
      <c r="B11">
        <v>10028</v>
      </c>
      <c r="C11" t="s">
        <v>373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0D62C-203B-47E2-A43E-C4122BA53CEF}">
  <sheetPr codeName="Sheet4"/>
  <dimension ref="A1:J18"/>
  <sheetViews>
    <sheetView showGridLines="0" workbookViewId="0">
      <selection sqref="A1:A1048576"/>
    </sheetView>
  </sheetViews>
  <sheetFormatPr defaultRowHeight="15" x14ac:dyDescent="0.25"/>
  <cols>
    <col min="1" max="1" width="31.28515625" bestFit="1" customWidth="1"/>
    <col min="2" max="2" width="25.28515625" bestFit="1" customWidth="1"/>
    <col min="3" max="3" width="11.28515625" bestFit="1" customWidth="1"/>
    <col min="4" max="4" width="14" bestFit="1" customWidth="1"/>
    <col min="5" max="5" width="23.28515625" bestFit="1" customWidth="1"/>
    <col min="6" max="6" width="17.140625" bestFit="1" customWidth="1"/>
    <col min="7" max="7" width="15.140625" bestFit="1" customWidth="1"/>
    <col min="8" max="8" width="34.42578125" bestFit="1" customWidth="1"/>
    <col min="9" max="9" width="8.140625" bestFit="1" customWidth="1"/>
    <col min="10" max="10" width="20.28515625" bestFit="1" customWidth="1"/>
  </cols>
  <sheetData>
    <row r="1" spans="1:10" x14ac:dyDescent="0.25">
      <c r="A1" t="s">
        <v>102</v>
      </c>
      <c r="B1" t="s">
        <v>103</v>
      </c>
      <c r="C1" t="s">
        <v>228</v>
      </c>
      <c r="D1" t="s">
        <v>104</v>
      </c>
      <c r="E1" t="s">
        <v>249</v>
      </c>
      <c r="F1" t="s">
        <v>250</v>
      </c>
      <c r="G1" t="s">
        <v>105</v>
      </c>
      <c r="H1" t="s">
        <v>106</v>
      </c>
      <c r="I1" t="s">
        <v>107</v>
      </c>
      <c r="J1" t="s">
        <v>108</v>
      </c>
    </row>
    <row r="2" spans="1:10" x14ac:dyDescent="0.25">
      <c r="A2" t="s">
        <v>360</v>
      </c>
      <c r="B2" t="s">
        <v>359</v>
      </c>
      <c r="C2" t="s">
        <v>266</v>
      </c>
      <c r="D2" t="s">
        <v>251</v>
      </c>
      <c r="F2">
        <v>906</v>
      </c>
      <c r="G2" t="s">
        <v>232</v>
      </c>
      <c r="H2" t="s">
        <v>370</v>
      </c>
      <c r="I2">
        <v>10029</v>
      </c>
    </row>
    <row r="3" spans="1:10" x14ac:dyDescent="0.25">
      <c r="A3" t="s">
        <v>112</v>
      </c>
      <c r="B3" t="s">
        <v>205</v>
      </c>
      <c r="C3" t="s">
        <v>204</v>
      </c>
      <c r="D3" t="s">
        <v>251</v>
      </c>
      <c r="F3">
        <v>901</v>
      </c>
      <c r="G3" t="s">
        <v>232</v>
      </c>
      <c r="H3" t="s">
        <v>114</v>
      </c>
      <c r="I3">
        <v>1083</v>
      </c>
    </row>
    <row r="4" spans="1:10" x14ac:dyDescent="0.25">
      <c r="A4" t="s">
        <v>211</v>
      </c>
      <c r="B4" t="s">
        <v>210</v>
      </c>
      <c r="C4" t="s">
        <v>209</v>
      </c>
      <c r="D4" t="s">
        <v>251</v>
      </c>
      <c r="F4">
        <v>902</v>
      </c>
      <c r="G4" t="s">
        <v>232</v>
      </c>
      <c r="H4" t="s">
        <v>241</v>
      </c>
      <c r="I4">
        <v>1091</v>
      </c>
    </row>
    <row r="5" spans="1:10" x14ac:dyDescent="0.25">
      <c r="A5" t="s">
        <v>217</v>
      </c>
      <c r="B5" t="s">
        <v>216</v>
      </c>
      <c r="C5" t="s">
        <v>215</v>
      </c>
      <c r="D5" t="s">
        <v>251</v>
      </c>
      <c r="F5">
        <v>911</v>
      </c>
      <c r="G5" t="s">
        <v>232</v>
      </c>
      <c r="H5" t="s">
        <v>242</v>
      </c>
      <c r="I5">
        <v>10024</v>
      </c>
    </row>
    <row r="6" spans="1:10" x14ac:dyDescent="0.25">
      <c r="A6" t="s">
        <v>214</v>
      </c>
      <c r="B6" t="s">
        <v>213</v>
      </c>
      <c r="C6" t="s">
        <v>212</v>
      </c>
      <c r="D6" t="s">
        <v>251</v>
      </c>
      <c r="F6">
        <v>905</v>
      </c>
      <c r="G6" t="s">
        <v>232</v>
      </c>
      <c r="H6" t="s">
        <v>243</v>
      </c>
      <c r="I6">
        <v>1089</v>
      </c>
    </row>
    <row r="7" spans="1:10" x14ac:dyDescent="0.25">
      <c r="A7" t="s">
        <v>224</v>
      </c>
      <c r="B7" t="s">
        <v>223</v>
      </c>
      <c r="C7" t="s">
        <v>222</v>
      </c>
      <c r="D7" t="s">
        <v>251</v>
      </c>
      <c r="F7">
        <v>904</v>
      </c>
      <c r="G7" t="s">
        <v>232</v>
      </c>
      <c r="H7" t="s">
        <v>245</v>
      </c>
      <c r="I7">
        <v>1087</v>
      </c>
    </row>
    <row r="8" spans="1:10" x14ac:dyDescent="0.25">
      <c r="A8" t="s">
        <v>208</v>
      </c>
      <c r="B8" t="s">
        <v>207</v>
      </c>
      <c r="C8" t="s">
        <v>206</v>
      </c>
      <c r="D8" t="s">
        <v>251</v>
      </c>
      <c r="F8">
        <v>908</v>
      </c>
      <c r="G8" t="s">
        <v>232</v>
      </c>
      <c r="H8" t="s">
        <v>246</v>
      </c>
      <c r="I8">
        <v>10027</v>
      </c>
    </row>
    <row r="9" spans="1:10" x14ac:dyDescent="0.25">
      <c r="A9" t="s">
        <v>227</v>
      </c>
      <c r="B9" t="s">
        <v>226</v>
      </c>
      <c r="C9" t="s">
        <v>225</v>
      </c>
      <c r="D9" t="s">
        <v>251</v>
      </c>
      <c r="F9">
        <v>903</v>
      </c>
      <c r="G9" t="s">
        <v>232</v>
      </c>
      <c r="H9" t="s">
        <v>247</v>
      </c>
      <c r="I9">
        <v>1003</v>
      </c>
    </row>
    <row r="10" spans="1:10" x14ac:dyDescent="0.25">
      <c r="A10" t="s">
        <v>371</v>
      </c>
      <c r="B10" t="s">
        <v>219</v>
      </c>
      <c r="C10" t="s">
        <v>218</v>
      </c>
      <c r="D10" t="s">
        <v>251</v>
      </c>
      <c r="F10">
        <v>913</v>
      </c>
      <c r="G10" t="s">
        <v>232</v>
      </c>
      <c r="H10" t="s">
        <v>248</v>
      </c>
      <c r="I10">
        <v>10025</v>
      </c>
    </row>
    <row r="11" spans="1:10" x14ac:dyDescent="0.25">
      <c r="A11" t="s">
        <v>372</v>
      </c>
      <c r="B11" t="s">
        <v>358</v>
      </c>
      <c r="C11" t="s">
        <v>269</v>
      </c>
      <c r="D11" t="s">
        <v>251</v>
      </c>
      <c r="F11">
        <v>910</v>
      </c>
      <c r="G11" t="s">
        <v>232</v>
      </c>
      <c r="H11" t="s">
        <v>373</v>
      </c>
      <c r="I11">
        <v>10028</v>
      </c>
    </row>
    <row r="12" spans="1:10" x14ac:dyDescent="0.25">
      <c r="A12" t="s">
        <v>109</v>
      </c>
      <c r="B12" t="s">
        <v>109</v>
      </c>
      <c r="D12" t="s">
        <v>110</v>
      </c>
      <c r="H12" t="s">
        <v>111</v>
      </c>
      <c r="I12">
        <v>1011</v>
      </c>
      <c r="J12" t="s">
        <v>110</v>
      </c>
    </row>
    <row r="13" spans="1:10" x14ac:dyDescent="0.25">
      <c r="A13" t="s">
        <v>112</v>
      </c>
      <c r="B13" t="s">
        <v>113</v>
      </c>
      <c r="D13" t="s">
        <v>110</v>
      </c>
      <c r="H13" t="s">
        <v>114</v>
      </c>
      <c r="I13">
        <v>1083</v>
      </c>
      <c r="J13" t="s">
        <v>110</v>
      </c>
    </row>
    <row r="14" spans="1:10" x14ac:dyDescent="0.25">
      <c r="A14" t="s">
        <v>115</v>
      </c>
      <c r="B14" t="s">
        <v>116</v>
      </c>
      <c r="D14" t="s">
        <v>110</v>
      </c>
      <c r="H14" t="s">
        <v>117</v>
      </c>
      <c r="I14">
        <v>12073</v>
      </c>
      <c r="J14" t="s">
        <v>110</v>
      </c>
    </row>
    <row r="15" spans="1:10" x14ac:dyDescent="0.25">
      <c r="A15" t="s">
        <v>51</v>
      </c>
      <c r="B15" t="s">
        <v>51</v>
      </c>
      <c r="D15" t="s">
        <v>110</v>
      </c>
      <c r="H15" t="s">
        <v>118</v>
      </c>
      <c r="I15">
        <v>1015</v>
      </c>
      <c r="J15" t="s">
        <v>110</v>
      </c>
    </row>
    <row r="16" spans="1:10" x14ac:dyDescent="0.25">
      <c r="A16" t="s">
        <v>112</v>
      </c>
      <c r="B16" t="s">
        <v>119</v>
      </c>
      <c r="D16" t="s">
        <v>110</v>
      </c>
      <c r="H16" t="s">
        <v>114</v>
      </c>
      <c r="I16">
        <v>1083</v>
      </c>
      <c r="J16" t="s">
        <v>110</v>
      </c>
    </row>
    <row r="17" spans="1:10" x14ac:dyDescent="0.25">
      <c r="A17" t="s">
        <v>120</v>
      </c>
      <c r="B17" t="s">
        <v>120</v>
      </c>
      <c r="D17" t="s">
        <v>110</v>
      </c>
      <c r="H17" t="s">
        <v>121</v>
      </c>
      <c r="I17">
        <v>1014</v>
      </c>
      <c r="J17" t="s">
        <v>110</v>
      </c>
    </row>
    <row r="18" spans="1:10" x14ac:dyDescent="0.25">
      <c r="A18" t="s">
        <v>221</v>
      </c>
      <c r="B18" t="s">
        <v>356</v>
      </c>
      <c r="D18" t="s">
        <v>110</v>
      </c>
      <c r="H18" t="s">
        <v>244</v>
      </c>
      <c r="I18">
        <v>1074</v>
      </c>
      <c r="J18" t="s">
        <v>110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2A6ED-7A74-4FA4-A184-E3EAFB166F36}">
  <sheetPr codeName="Sheet35"/>
  <dimension ref="A1:J15"/>
  <sheetViews>
    <sheetView workbookViewId="0"/>
  </sheetViews>
  <sheetFormatPr defaultRowHeight="15" x14ac:dyDescent="0.25"/>
  <cols>
    <col min="1" max="1" width="29.28515625" bestFit="1" customWidth="1"/>
    <col min="4" max="4" width="11.28515625" bestFit="1" customWidth="1"/>
    <col min="5" max="5" width="29.28515625" bestFit="1" customWidth="1"/>
    <col min="7" max="7" width="29.28515625" bestFit="1" customWidth="1"/>
  </cols>
  <sheetData>
    <row r="1" spans="1:10" x14ac:dyDescent="0.25">
      <c r="A1" t="str" cm="1">
        <f t="array" ref="A1:A15">_xlfn.UNIQUE(DIV10PartnerList[PARTNER NAME])</f>
        <v>PAUL KENNEDY</v>
      </c>
    </row>
    <row r="2" spans="1:10" x14ac:dyDescent="0.25">
      <c r="A2" t="str">
        <v>FLASH LOGISTICS LLC</v>
      </c>
    </row>
    <row r="3" spans="1:10" x14ac:dyDescent="0.25">
      <c r="A3" t="str">
        <v>MVO TRANSPORTATION</v>
      </c>
    </row>
    <row r="4" spans="1:10" x14ac:dyDescent="0.25">
      <c r="A4" t="str">
        <v>JUST EASY ACCESS RIDE LLC</v>
      </c>
    </row>
    <row r="5" spans="1:10" x14ac:dyDescent="0.25">
      <c r="A5" t="str">
        <v>ARISESIZ LLC</v>
      </c>
    </row>
    <row r="6" spans="1:10" x14ac:dyDescent="0.25">
      <c r="A6" t="str">
        <v>MTIGER TRANSPORTATION</v>
      </c>
    </row>
    <row r="7" spans="1:10" x14ac:dyDescent="0.25">
      <c r="A7" t="str">
        <v>VAMONOS TRANSPORTATION LLC</v>
      </c>
    </row>
    <row r="8" spans="1:10" x14ac:dyDescent="0.25">
      <c r="A8" t="str">
        <v>ANGELES TRANSPORTATION, LLC</v>
      </c>
    </row>
    <row r="9" spans="1:10" x14ac:dyDescent="0.25">
      <c r="A9" t="str">
        <v>SANVIN VOYAGE LLC</v>
      </c>
      <c r="G9" s="69"/>
      <c r="H9" s="23"/>
      <c r="I9" s="10"/>
      <c r="J9" s="173"/>
    </row>
    <row r="10" spans="1:10" x14ac:dyDescent="0.25">
      <c r="A10" t="str">
        <v>EDIS OSMANOVIC</v>
      </c>
      <c r="G10" s="69"/>
      <c r="H10" s="28"/>
      <c r="I10" s="29"/>
      <c r="J10" s="173"/>
    </row>
    <row r="11" spans="1:10" x14ac:dyDescent="0.25">
      <c r="A11" t="str">
        <v>JAMAAL PERRY</v>
      </c>
      <c r="G11" s="69"/>
      <c r="H11" s="28"/>
      <c r="I11" s="29"/>
      <c r="J11" s="173"/>
    </row>
    <row r="12" spans="1:10" x14ac:dyDescent="0.25">
      <c r="A12" t="str">
        <v>BAMS TRANSIT</v>
      </c>
      <c r="G12" s="69"/>
      <c r="H12" s="28"/>
      <c r="I12" s="29"/>
      <c r="J12" s="173"/>
    </row>
    <row r="13" spans="1:10" x14ac:dyDescent="0.25">
      <c r="A13" t="str">
        <v>DHARON DEPASS</v>
      </c>
      <c r="G13" s="69"/>
      <c r="H13" s="28"/>
      <c r="I13" s="29"/>
      <c r="J13" s="173"/>
    </row>
    <row r="14" spans="1:10" x14ac:dyDescent="0.25">
      <c r="A14" t="str">
        <v>DOMINIQUE CARR</v>
      </c>
    </row>
    <row r="15" spans="1:10" x14ac:dyDescent="0.25">
      <c r="A15" t="str">
        <v>ROADRUNNERLIFT23 LLC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AB52F-BFA9-4F33-B874-DA3DC74C53AE}">
  <sheetPr codeName="Sheet25">
    <tabColor rgb="FFFF0000"/>
  </sheetPr>
  <dimension ref="A1:AF277"/>
  <sheetViews>
    <sheetView showGridLines="0" zoomScale="110" zoomScaleNormal="110" workbookViewId="0">
      <selection activeCell="J24" sqref="J24"/>
    </sheetView>
  </sheetViews>
  <sheetFormatPr defaultRowHeight="15" x14ac:dyDescent="0.25"/>
  <cols>
    <col min="1" max="1" width="16.42578125" style="61" customWidth="1"/>
    <col min="2" max="2" width="31.28515625" bestFit="1" customWidth="1"/>
    <col min="3" max="3" width="12" bestFit="1" customWidth="1"/>
    <col min="4" max="4" width="12.28515625" bestFit="1" customWidth="1"/>
    <col min="9" max="9" width="31.7109375" bestFit="1" customWidth="1"/>
    <col min="10" max="10" width="15.85546875" bestFit="1" customWidth="1"/>
    <col min="14" max="14" width="13.140625" bestFit="1" customWidth="1"/>
    <col min="18" max="18" width="31.140625" bestFit="1" customWidth="1"/>
    <col min="19" max="19" width="17.140625" bestFit="1" customWidth="1"/>
    <col min="24" max="24" width="25" bestFit="1" customWidth="1"/>
    <col min="28" max="28" width="25" bestFit="1" customWidth="1"/>
    <col min="31" max="31" width="18.42578125" bestFit="1" customWidth="1"/>
    <col min="32" max="32" width="15.140625" bestFit="1" customWidth="1"/>
  </cols>
  <sheetData>
    <row r="1" spans="1:32" ht="21" x14ac:dyDescent="0.35">
      <c r="A1" s="91" t="s">
        <v>252</v>
      </c>
      <c r="B1" s="91"/>
      <c r="C1" s="91"/>
      <c r="I1" s="216" t="s">
        <v>253</v>
      </c>
      <c r="J1" s="216"/>
      <c r="N1" s="217" t="s">
        <v>254</v>
      </c>
      <c r="O1" s="217"/>
      <c r="P1" s="217"/>
      <c r="Q1" s="217"/>
      <c r="R1" s="217"/>
      <c r="W1" s="218" t="s">
        <v>255</v>
      </c>
      <c r="X1" s="218"/>
      <c r="Y1" s="218"/>
      <c r="Z1" s="218"/>
      <c r="AA1" s="218"/>
      <c r="AB1" s="218"/>
      <c r="AE1" s="179" t="s">
        <v>256</v>
      </c>
    </row>
    <row r="2" spans="1:32" x14ac:dyDescent="0.25">
      <c r="A2" s="215"/>
      <c r="B2" s="215"/>
      <c r="C2" s="215"/>
      <c r="W2" t="s">
        <v>257</v>
      </c>
      <c r="AA2" t="s">
        <v>258</v>
      </c>
    </row>
    <row r="3" spans="1:32" x14ac:dyDescent="0.25">
      <c r="A3" s="92" t="s">
        <v>259</v>
      </c>
      <c r="B3" s="90" t="s">
        <v>102</v>
      </c>
      <c r="C3" t="s">
        <v>260</v>
      </c>
      <c r="I3" s="90" t="s">
        <v>102</v>
      </c>
      <c r="J3" s="90" t="s">
        <v>89</v>
      </c>
      <c r="N3" s="90" t="s">
        <v>261</v>
      </c>
      <c r="R3" s="90" t="s">
        <v>203</v>
      </c>
      <c r="S3" s="90" t="s">
        <v>202</v>
      </c>
    </row>
    <row r="4" spans="1:32" x14ac:dyDescent="0.25">
      <c r="A4" s="61" t="s">
        <v>204</v>
      </c>
      <c r="B4" t="s">
        <v>112</v>
      </c>
      <c r="C4">
        <v>130</v>
      </c>
      <c r="E4">
        <v>21.5</v>
      </c>
      <c r="F4">
        <f>C4*E4</f>
        <v>2795</v>
      </c>
      <c r="I4" t="s">
        <v>112</v>
      </c>
      <c r="J4">
        <v>21.5</v>
      </c>
      <c r="N4" s="174" t="s">
        <v>262</v>
      </c>
      <c r="W4" s="90" t="s">
        <v>261</v>
      </c>
      <c r="X4" t="s">
        <v>263</v>
      </c>
      <c r="AA4" s="90" t="s">
        <v>261</v>
      </c>
      <c r="AB4" t="s">
        <v>263</v>
      </c>
      <c r="AE4" s="90" t="s">
        <v>102</v>
      </c>
      <c r="AF4" t="s">
        <v>264</v>
      </c>
    </row>
    <row r="5" spans="1:32" x14ac:dyDescent="0.25">
      <c r="A5" s="61" t="s">
        <v>209</v>
      </c>
      <c r="B5" t="s">
        <v>211</v>
      </c>
      <c r="C5">
        <v>102</v>
      </c>
      <c r="E5">
        <v>21.5</v>
      </c>
      <c r="F5">
        <f t="shared" ref="F5:F16" si="0">C5*E5</f>
        <v>2193</v>
      </c>
      <c r="I5" t="s">
        <v>224</v>
      </c>
      <c r="J5">
        <v>21.5</v>
      </c>
      <c r="W5" s="190">
        <v>45628</v>
      </c>
      <c r="X5">
        <v>11.2</v>
      </c>
      <c r="AA5" s="174" t="s">
        <v>375</v>
      </c>
      <c r="AB5">
        <v>294</v>
      </c>
    </row>
    <row r="6" spans="1:32" x14ac:dyDescent="0.25">
      <c r="A6" s="61" t="s">
        <v>225</v>
      </c>
      <c r="B6" t="s">
        <v>227</v>
      </c>
      <c r="C6">
        <v>120</v>
      </c>
      <c r="E6">
        <v>21.5</v>
      </c>
      <c r="F6">
        <f t="shared" si="0"/>
        <v>2580</v>
      </c>
      <c r="I6" t="s">
        <v>214</v>
      </c>
      <c r="J6">
        <v>21.5</v>
      </c>
      <c r="W6" s="190">
        <v>45629</v>
      </c>
      <c r="X6">
        <v>19.599999999999998</v>
      </c>
      <c r="AA6" s="192" t="s">
        <v>376</v>
      </c>
      <c r="AB6">
        <v>11.2</v>
      </c>
      <c r="AE6" s="90" t="s">
        <v>261</v>
      </c>
      <c r="AF6" t="s">
        <v>265</v>
      </c>
    </row>
    <row r="7" spans="1:32" x14ac:dyDescent="0.25">
      <c r="A7" s="61" t="s">
        <v>222</v>
      </c>
      <c r="B7" t="s">
        <v>224</v>
      </c>
      <c r="C7">
        <v>137</v>
      </c>
      <c r="E7">
        <v>21.5</v>
      </c>
      <c r="F7">
        <f t="shared" si="0"/>
        <v>2945.5</v>
      </c>
      <c r="I7" t="s">
        <v>211</v>
      </c>
      <c r="J7">
        <v>21.5</v>
      </c>
      <c r="W7" s="190">
        <v>45630</v>
      </c>
      <c r="X7">
        <v>30.799999999999997</v>
      </c>
      <c r="AA7" s="193">
        <v>45628</v>
      </c>
      <c r="AB7">
        <v>11.2</v>
      </c>
      <c r="AE7" s="174" t="s">
        <v>116</v>
      </c>
      <c r="AF7">
        <v>117.97</v>
      </c>
    </row>
    <row r="8" spans="1:32" x14ac:dyDescent="0.25">
      <c r="A8" s="61" t="s">
        <v>212</v>
      </c>
      <c r="B8" t="s">
        <v>214</v>
      </c>
      <c r="C8">
        <v>169</v>
      </c>
      <c r="E8">
        <v>21.5</v>
      </c>
      <c r="F8">
        <f>C8*E8</f>
        <v>3633.5</v>
      </c>
      <c r="I8" t="s">
        <v>227</v>
      </c>
      <c r="J8">
        <v>21.5</v>
      </c>
      <c r="W8" s="190">
        <v>45631</v>
      </c>
      <c r="X8">
        <v>36.399999999999991</v>
      </c>
      <c r="AA8" s="192" t="s">
        <v>377</v>
      </c>
      <c r="AB8">
        <v>19.599999999999998</v>
      </c>
      <c r="AE8" s="174" t="s">
        <v>51</v>
      </c>
      <c r="AF8">
        <v>179.75</v>
      </c>
    </row>
    <row r="9" spans="1:32" x14ac:dyDescent="0.25">
      <c r="A9" s="61" t="s">
        <v>266</v>
      </c>
      <c r="B9" t="s">
        <v>360</v>
      </c>
      <c r="C9">
        <v>77</v>
      </c>
      <c r="E9">
        <v>21.5</v>
      </c>
      <c r="F9">
        <f t="shared" si="0"/>
        <v>1655.5</v>
      </c>
      <c r="I9" t="s">
        <v>217</v>
      </c>
      <c r="J9">
        <v>21.5</v>
      </c>
      <c r="W9" s="190">
        <v>45632</v>
      </c>
      <c r="X9">
        <v>27.999999999999996</v>
      </c>
      <c r="AA9" s="193">
        <v>45629</v>
      </c>
      <c r="AB9">
        <v>19.599999999999998</v>
      </c>
      <c r="AE9" s="174" t="s">
        <v>267</v>
      </c>
      <c r="AF9">
        <v>112</v>
      </c>
    </row>
    <row r="10" spans="1:32" x14ac:dyDescent="0.25">
      <c r="A10" s="61" t="s">
        <v>220</v>
      </c>
      <c r="B10" s="91" t="s">
        <v>264</v>
      </c>
      <c r="C10">
        <v>0</v>
      </c>
      <c r="E10">
        <v>21.5</v>
      </c>
      <c r="F10">
        <f t="shared" si="0"/>
        <v>0</v>
      </c>
      <c r="G10" s="93"/>
      <c r="I10" t="s">
        <v>208</v>
      </c>
      <c r="J10">
        <v>21.5</v>
      </c>
      <c r="W10" s="190">
        <v>45635</v>
      </c>
      <c r="X10">
        <v>28</v>
      </c>
      <c r="AA10" s="192" t="s">
        <v>378</v>
      </c>
      <c r="AB10">
        <v>30.8</v>
      </c>
      <c r="AE10" s="174" t="s">
        <v>361</v>
      </c>
      <c r="AF10">
        <v>29</v>
      </c>
    </row>
    <row r="11" spans="1:32" x14ac:dyDescent="0.25">
      <c r="A11" s="61" t="s">
        <v>206</v>
      </c>
      <c r="B11" t="s">
        <v>208</v>
      </c>
      <c r="C11">
        <v>137</v>
      </c>
      <c r="E11">
        <v>21.5</v>
      </c>
      <c r="F11">
        <f t="shared" si="0"/>
        <v>2945.5</v>
      </c>
      <c r="I11" t="s">
        <v>360</v>
      </c>
      <c r="J11">
        <v>21.5</v>
      </c>
      <c r="W11" s="190">
        <v>45636</v>
      </c>
      <c r="X11">
        <v>41.999999999999993</v>
      </c>
      <c r="AA11" s="193">
        <v>45630</v>
      </c>
      <c r="AB11">
        <v>30.8</v>
      </c>
      <c r="AE11" s="174" t="s">
        <v>262</v>
      </c>
      <c r="AF11">
        <v>438.72</v>
      </c>
    </row>
    <row r="12" spans="1:32" x14ac:dyDescent="0.25">
      <c r="A12" s="61" t="s">
        <v>268</v>
      </c>
      <c r="B12" s="91" t="s">
        <v>264</v>
      </c>
      <c r="C12">
        <v>0</v>
      </c>
      <c r="E12">
        <v>21.5</v>
      </c>
      <c r="F12">
        <f t="shared" si="0"/>
        <v>0</v>
      </c>
      <c r="I12" t="s">
        <v>372</v>
      </c>
      <c r="J12">
        <v>21.5</v>
      </c>
      <c r="W12" s="190">
        <v>45637</v>
      </c>
      <c r="X12">
        <v>33.599999999999994</v>
      </c>
      <c r="AA12" s="192" t="s">
        <v>379</v>
      </c>
      <c r="AB12">
        <v>36.4</v>
      </c>
    </row>
    <row r="13" spans="1:32" x14ac:dyDescent="0.25">
      <c r="A13" s="61" t="s">
        <v>269</v>
      </c>
      <c r="B13" t="s">
        <v>372</v>
      </c>
      <c r="C13">
        <v>128</v>
      </c>
      <c r="E13">
        <v>21.5</v>
      </c>
      <c r="F13">
        <f t="shared" si="0"/>
        <v>2752</v>
      </c>
      <c r="I13" t="s">
        <v>371</v>
      </c>
      <c r="J13">
        <v>21.5</v>
      </c>
      <c r="W13" s="190">
        <v>45638</v>
      </c>
      <c r="X13">
        <v>30.8</v>
      </c>
      <c r="AA13" s="193">
        <v>45631</v>
      </c>
      <c r="AB13">
        <v>36.4</v>
      </c>
    </row>
    <row r="14" spans="1:32" x14ac:dyDescent="0.25">
      <c r="A14" s="61" t="s">
        <v>215</v>
      </c>
      <c r="B14" t="s">
        <v>217</v>
      </c>
      <c r="C14">
        <v>132</v>
      </c>
      <c r="E14">
        <v>21.5</v>
      </c>
      <c r="F14">
        <f t="shared" si="0"/>
        <v>2838</v>
      </c>
      <c r="W14" s="190">
        <v>45639</v>
      </c>
      <c r="X14">
        <v>30.800000000000004</v>
      </c>
      <c r="AA14" s="192" t="s">
        <v>380</v>
      </c>
      <c r="AB14">
        <v>28</v>
      </c>
    </row>
    <row r="15" spans="1:32" x14ac:dyDescent="0.25">
      <c r="A15" s="61" t="s">
        <v>270</v>
      </c>
      <c r="B15" s="91" t="s">
        <v>264</v>
      </c>
      <c r="C15">
        <v>0</v>
      </c>
      <c r="E15">
        <v>21.5</v>
      </c>
      <c r="F15">
        <f t="shared" si="0"/>
        <v>0</v>
      </c>
      <c r="W15" s="190">
        <v>45640</v>
      </c>
      <c r="X15">
        <v>2.8</v>
      </c>
      <c r="AA15" s="193">
        <v>45632</v>
      </c>
      <c r="AB15">
        <v>28</v>
      </c>
    </row>
    <row r="16" spans="1:32" x14ac:dyDescent="0.25">
      <c r="A16" s="61" t="s">
        <v>218</v>
      </c>
      <c r="B16" t="s">
        <v>371</v>
      </c>
      <c r="C16">
        <v>123</v>
      </c>
      <c r="E16">
        <v>21.5</v>
      </c>
      <c r="F16">
        <f t="shared" si="0"/>
        <v>2644.5</v>
      </c>
      <c r="W16" s="190" t="s">
        <v>262</v>
      </c>
      <c r="X16">
        <v>294</v>
      </c>
      <c r="AA16" s="192" t="s">
        <v>381</v>
      </c>
      <c r="AB16">
        <v>0</v>
      </c>
    </row>
    <row r="17" spans="1:28" x14ac:dyDescent="0.25">
      <c r="A17" s="61" t="s">
        <v>262</v>
      </c>
      <c r="B17" s="61"/>
      <c r="C17">
        <v>1255</v>
      </c>
      <c r="E17">
        <v>21.5</v>
      </c>
      <c r="F17">
        <f>C17*E17</f>
        <v>26982.5</v>
      </c>
      <c r="AA17" s="193">
        <v>45634</v>
      </c>
      <c r="AB17">
        <v>0</v>
      </c>
    </row>
    <row r="18" spans="1:28" x14ac:dyDescent="0.25">
      <c r="A18"/>
      <c r="AA18" s="192" t="s">
        <v>382</v>
      </c>
      <c r="AB18">
        <v>27.999999999999996</v>
      </c>
    </row>
    <row r="19" spans="1:28" x14ac:dyDescent="0.25">
      <c r="A19"/>
      <c r="F19" s="109">
        <f>SUM(F4:F18)</f>
        <v>53965</v>
      </c>
      <c r="AA19" s="193">
        <v>45635</v>
      </c>
      <c r="AB19">
        <v>27.999999999999996</v>
      </c>
    </row>
    <row r="20" spans="1:28" x14ac:dyDescent="0.25">
      <c r="A20"/>
      <c r="AA20" s="192" t="s">
        <v>383</v>
      </c>
      <c r="AB20">
        <v>42</v>
      </c>
    </row>
    <row r="21" spans="1:28" x14ac:dyDescent="0.25">
      <c r="A21"/>
      <c r="AA21" s="193">
        <v>45636</v>
      </c>
      <c r="AB21">
        <v>42</v>
      </c>
    </row>
    <row r="22" spans="1:28" x14ac:dyDescent="0.25">
      <c r="A22"/>
      <c r="AA22" s="192" t="s">
        <v>384</v>
      </c>
      <c r="AB22">
        <v>33.599999999999994</v>
      </c>
    </row>
    <row r="23" spans="1:28" x14ac:dyDescent="0.25">
      <c r="A23"/>
      <c r="AA23" s="193">
        <v>45637</v>
      </c>
      <c r="AB23">
        <v>33.599999999999994</v>
      </c>
    </row>
    <row r="24" spans="1:28" x14ac:dyDescent="0.25">
      <c r="A24"/>
      <c r="AA24" s="192" t="s">
        <v>385</v>
      </c>
      <c r="AB24">
        <v>30.799999999999997</v>
      </c>
    </row>
    <row r="25" spans="1:28" x14ac:dyDescent="0.25">
      <c r="A25"/>
      <c r="AA25" s="193">
        <v>45638</v>
      </c>
      <c r="AB25">
        <v>30.799999999999997</v>
      </c>
    </row>
    <row r="26" spans="1:28" x14ac:dyDescent="0.25">
      <c r="A26"/>
      <c r="AA26" s="192" t="s">
        <v>386</v>
      </c>
      <c r="AB26">
        <v>30.799999999999997</v>
      </c>
    </row>
    <row r="27" spans="1:28" x14ac:dyDescent="0.25">
      <c r="A27"/>
      <c r="AA27" s="193">
        <v>45639</v>
      </c>
      <c r="AB27">
        <v>30.799999999999997</v>
      </c>
    </row>
    <row r="28" spans="1:28" x14ac:dyDescent="0.25">
      <c r="A28"/>
      <c r="AA28" s="192" t="s">
        <v>387</v>
      </c>
      <c r="AB28">
        <v>2.8</v>
      </c>
    </row>
    <row r="29" spans="1:28" x14ac:dyDescent="0.25">
      <c r="A29"/>
      <c r="AA29" s="193">
        <v>45640</v>
      </c>
      <c r="AB29">
        <v>2.8</v>
      </c>
    </row>
    <row r="30" spans="1:28" x14ac:dyDescent="0.25">
      <c r="A30"/>
      <c r="AA30" s="192" t="s">
        <v>388</v>
      </c>
      <c r="AB30">
        <v>0</v>
      </c>
    </row>
    <row r="31" spans="1:28" x14ac:dyDescent="0.25">
      <c r="A31"/>
      <c r="AA31" s="193">
        <v>45641</v>
      </c>
      <c r="AB31">
        <v>0</v>
      </c>
    </row>
    <row r="32" spans="1:28" x14ac:dyDescent="0.25">
      <c r="A32"/>
      <c r="AA32" s="174" t="s">
        <v>262</v>
      </c>
      <c r="AB32">
        <v>294</v>
      </c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</sheetData>
  <mergeCells count="4">
    <mergeCell ref="A2:C2"/>
    <mergeCell ref="I1:J1"/>
    <mergeCell ref="N1:R1"/>
    <mergeCell ref="W1:AB1"/>
  </mergeCells>
  <pageMargins left="0.7" right="0.7" top="0.75" bottom="0.75" header="0.3" footer="0.3"/>
  <pageSetup orientation="portrait" r:id="rId8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9E3DD-E86C-48CE-B8C0-9E66C843830B}">
  <sheetPr codeName="Sheet21"/>
  <dimension ref="A1:AG121"/>
  <sheetViews>
    <sheetView showGridLines="0" workbookViewId="0">
      <selection activeCell="A4" sqref="A4"/>
    </sheetView>
  </sheetViews>
  <sheetFormatPr defaultRowHeight="15" x14ac:dyDescent="0.25"/>
  <cols>
    <col min="1" max="1" width="13.42578125" style="64" customWidth="1"/>
    <col min="2" max="2" width="8" customWidth="1"/>
    <col min="3" max="3" width="19.7109375" customWidth="1"/>
    <col min="4" max="4" width="20.7109375" style="61" customWidth="1"/>
    <col min="5" max="5" width="12.7109375" style="61" customWidth="1"/>
    <col min="6" max="6" width="14.140625" style="75" customWidth="1"/>
    <col min="7" max="7" width="26.42578125" style="75" customWidth="1"/>
    <col min="8" max="8" width="20" style="86" customWidth="1"/>
    <col min="9" max="9" width="15.7109375" style="74" bestFit="1" customWidth="1"/>
    <col min="10" max="10" width="17.42578125" style="74" customWidth="1"/>
    <col min="11" max="11" width="11.42578125" customWidth="1"/>
    <col min="12" max="12" width="14.28515625" customWidth="1"/>
    <col min="13" max="13" width="15.5703125" customWidth="1"/>
    <col min="15" max="15" width="10.5703125" style="64" bestFit="1" customWidth="1"/>
    <col min="16" max="16" width="13.28515625" customWidth="1"/>
    <col min="17" max="17" width="14.42578125" customWidth="1"/>
    <col min="18" max="18" width="14" style="162" customWidth="1"/>
    <col min="19" max="19" width="14.140625" style="134" customWidth="1"/>
    <col min="20" max="20" width="15.140625" style="134" customWidth="1"/>
    <col min="21" max="21" width="12.28515625" style="4" customWidth="1"/>
    <col min="22" max="23" width="10.7109375" style="4" customWidth="1"/>
    <col min="24" max="24" width="12.28515625" style="163" customWidth="1"/>
    <col min="25" max="25" width="16.28515625" style="163" customWidth="1"/>
    <col min="26" max="33" width="13.28515625" customWidth="1"/>
  </cols>
  <sheetData>
    <row r="1" spans="1:33" ht="17.25" x14ac:dyDescent="0.3">
      <c r="A1" s="72" t="s">
        <v>45</v>
      </c>
      <c r="D1" s="205" t="s">
        <v>46</v>
      </c>
      <c r="E1" s="205"/>
      <c r="F1" s="73"/>
      <c r="G1" s="206" t="s">
        <v>47</v>
      </c>
      <c r="H1" s="206"/>
      <c r="J1" s="201" t="s">
        <v>48</v>
      </c>
      <c r="K1" s="201"/>
      <c r="O1" s="136"/>
      <c r="P1" s="137"/>
      <c r="Q1" s="137"/>
      <c r="R1" s="137"/>
      <c r="S1" s="137"/>
      <c r="T1" s="138"/>
      <c r="U1" s="195" t="s">
        <v>49</v>
      </c>
      <c r="V1" s="196"/>
      <c r="W1" s="197"/>
      <c r="X1" s="198" t="s">
        <v>50</v>
      </c>
      <c r="Y1" s="199"/>
      <c r="Z1" s="199"/>
      <c r="AA1" s="200"/>
      <c r="AB1" s="139"/>
      <c r="AC1" s="139"/>
      <c r="AD1" s="139"/>
      <c r="AE1" s="139"/>
      <c r="AF1" s="139"/>
      <c r="AG1" s="139"/>
    </row>
    <row r="2" spans="1:33" ht="30.75" thickBot="1" x14ac:dyDescent="0.35">
      <c r="A2" s="207" t="s">
        <v>221</v>
      </c>
      <c r="B2" s="208"/>
      <c r="C2" s="208"/>
      <c r="D2" s="108" t="s">
        <v>52</v>
      </c>
      <c r="E2" s="107">
        <v>0</v>
      </c>
      <c r="G2" s="95" t="s">
        <v>53</v>
      </c>
      <c r="H2" s="97">
        <v>0</v>
      </c>
      <c r="J2" s="6" t="s">
        <v>30</v>
      </c>
      <c r="K2" s="105">
        <v>0</v>
      </c>
      <c r="O2" s="140" t="s">
        <v>54</v>
      </c>
      <c r="P2" s="141" t="s">
        <v>55</v>
      </c>
      <c r="Q2" s="142" t="s">
        <v>56</v>
      </c>
      <c r="R2" s="142" t="s">
        <v>57</v>
      </c>
      <c r="S2" s="143" t="s">
        <v>58</v>
      </c>
      <c r="T2" s="143" t="s">
        <v>59</v>
      </c>
      <c r="U2" s="144" t="s">
        <v>60</v>
      </c>
      <c r="V2" s="144" t="s">
        <v>61</v>
      </c>
      <c r="W2" s="144" t="s">
        <v>62</v>
      </c>
      <c r="X2" s="144" t="s">
        <v>63</v>
      </c>
      <c r="Y2" s="141" t="s">
        <v>64</v>
      </c>
      <c r="Z2" s="141" t="s">
        <v>61</v>
      </c>
      <c r="AA2" s="144" t="s">
        <v>62</v>
      </c>
      <c r="AB2" s="144" t="s">
        <v>65</v>
      </c>
      <c r="AC2" s="144" t="s">
        <v>66</v>
      </c>
      <c r="AD2" s="144" t="s">
        <v>67</v>
      </c>
      <c r="AE2" s="144" t="s">
        <v>68</v>
      </c>
      <c r="AF2" s="144" t="s">
        <v>69</v>
      </c>
      <c r="AG2" t="s">
        <v>70</v>
      </c>
    </row>
    <row r="3" spans="1:33" x14ac:dyDescent="0.25">
      <c r="G3" s="75" t="s">
        <v>71</v>
      </c>
      <c r="H3" s="97">
        <v>0</v>
      </c>
      <c r="J3" s="6" t="s">
        <v>31</v>
      </c>
      <c r="K3" s="105">
        <v>92.5</v>
      </c>
      <c r="O3" s="136" t="s">
        <v>15</v>
      </c>
      <c r="P3" s="145">
        <v>48</v>
      </c>
      <c r="Q3" s="146">
        <v>47.06</v>
      </c>
      <c r="R3" s="146">
        <v>47.06</v>
      </c>
      <c r="S3" s="138">
        <v>0.98041666666666705</v>
      </c>
      <c r="T3" s="147">
        <v>994.14</v>
      </c>
      <c r="U3" s="139">
        <v>305.89</v>
      </c>
      <c r="V3" s="139">
        <v>0</v>
      </c>
      <c r="W3" s="147">
        <v>0</v>
      </c>
      <c r="X3" s="148">
        <v>1</v>
      </c>
      <c r="Y3" s="148">
        <v>0</v>
      </c>
      <c r="Z3" s="139">
        <v>152.94999999999999</v>
      </c>
      <c r="AA3" s="147">
        <v>0</v>
      </c>
      <c r="AB3" s="148">
        <v>0.285592860178496</v>
      </c>
      <c r="AC3" s="139">
        <v>0</v>
      </c>
      <c r="AD3" s="139">
        <v>36.380000000000003</v>
      </c>
      <c r="AE3" s="139">
        <v>0</v>
      </c>
      <c r="AF3" s="139">
        <v>0</v>
      </c>
      <c r="AG3" s="139">
        <v>1489.36</v>
      </c>
    </row>
    <row r="4" spans="1:33" ht="21.75" thickBot="1" x14ac:dyDescent="0.4">
      <c r="A4" s="101" t="s">
        <v>72</v>
      </c>
      <c r="B4" s="209">
        <v>1396.86</v>
      </c>
      <c r="C4" s="210"/>
      <c r="D4" s="94" t="s">
        <v>35</v>
      </c>
      <c r="E4" s="81"/>
      <c r="G4" s="99" t="s">
        <v>29</v>
      </c>
      <c r="H4" s="98">
        <v>0</v>
      </c>
      <c r="I4" s="79"/>
      <c r="J4" s="6" t="s">
        <v>73</v>
      </c>
      <c r="K4" s="105">
        <v>0</v>
      </c>
      <c r="O4" s="136"/>
      <c r="P4" s="145"/>
      <c r="Q4" s="146"/>
      <c r="R4" s="146"/>
      <c r="S4" s="138"/>
      <c r="T4" s="147"/>
      <c r="U4" s="139"/>
      <c r="V4" s="139"/>
      <c r="W4" s="147"/>
      <c r="X4" s="148"/>
      <c r="Y4" s="148"/>
      <c r="Z4" s="139"/>
      <c r="AA4" s="147"/>
      <c r="AB4" s="139"/>
      <c r="AC4" s="148"/>
      <c r="AD4" s="139"/>
      <c r="AE4" s="139"/>
      <c r="AF4" s="139"/>
      <c r="AG4" s="139"/>
    </row>
    <row r="5" spans="1:33" ht="21" x14ac:dyDescent="0.35">
      <c r="A5" s="76"/>
      <c r="B5" s="77"/>
      <c r="C5" s="78"/>
      <c r="D5" s="61" t="s">
        <v>74</v>
      </c>
      <c r="E5" s="61">
        <v>0</v>
      </c>
      <c r="G5" s="94" t="s">
        <v>75</v>
      </c>
      <c r="H5" s="100">
        <v>0</v>
      </c>
      <c r="I5" s="79"/>
      <c r="J5" s="107" t="s">
        <v>32</v>
      </c>
      <c r="K5" s="105">
        <v>0</v>
      </c>
      <c r="O5" s="149" t="s">
        <v>72</v>
      </c>
      <c r="P5" s="150">
        <v>48</v>
      </c>
      <c r="Q5" s="151">
        <v>47.06</v>
      </c>
      <c r="R5" s="151">
        <v>47.06</v>
      </c>
      <c r="S5" s="150"/>
      <c r="T5" s="152">
        <v>994.14</v>
      </c>
      <c r="U5" s="153">
        <v>305.89</v>
      </c>
      <c r="V5" s="153">
        <v>0</v>
      </c>
      <c r="W5" s="153">
        <v>0</v>
      </c>
      <c r="X5" s="151"/>
      <c r="Y5" s="154"/>
      <c r="Z5" s="153">
        <v>152.94999999999999</v>
      </c>
      <c r="AA5" s="153">
        <v>0</v>
      </c>
      <c r="AB5" s="154"/>
      <c r="AC5" s="153">
        <v>0</v>
      </c>
      <c r="AD5" s="153">
        <v>36.380000000000003</v>
      </c>
      <c r="AE5" s="153">
        <v>0</v>
      </c>
      <c r="AF5" s="153">
        <v>0</v>
      </c>
      <c r="AG5" s="185">
        <v>1489.36</v>
      </c>
    </row>
    <row r="6" spans="1:33" ht="21" x14ac:dyDescent="0.35">
      <c r="A6" s="76"/>
      <c r="B6" s="77"/>
      <c r="C6" s="78"/>
      <c r="D6" s="61" t="s">
        <v>76</v>
      </c>
      <c r="E6" s="61">
        <v>0</v>
      </c>
      <c r="G6" s="94"/>
      <c r="H6" s="100"/>
      <c r="I6" s="79"/>
      <c r="J6" s="96" t="s">
        <v>77</v>
      </c>
      <c r="K6" s="106">
        <v>0</v>
      </c>
      <c r="O6"/>
      <c r="R6"/>
      <c r="S6"/>
      <c r="T6"/>
      <c r="U6"/>
      <c r="V6"/>
      <c r="W6"/>
      <c r="X6"/>
      <c r="Y6"/>
    </row>
    <row r="7" spans="1:33" ht="21" x14ac:dyDescent="0.35">
      <c r="A7" s="76"/>
      <c r="B7" s="77"/>
      <c r="C7" s="78"/>
      <c r="D7" s="61" t="s">
        <v>78</v>
      </c>
      <c r="E7" s="61">
        <v>0</v>
      </c>
      <c r="G7" s="94"/>
      <c r="H7" s="100"/>
      <c r="I7" s="79"/>
      <c r="J7" s="79" t="s">
        <v>48</v>
      </c>
      <c r="K7" s="105">
        <v>92.5</v>
      </c>
      <c r="O7"/>
      <c r="R7"/>
      <c r="S7"/>
      <c r="T7"/>
      <c r="U7"/>
      <c r="V7"/>
      <c r="W7"/>
      <c r="X7"/>
      <c r="Y7"/>
    </row>
    <row r="8" spans="1:33" ht="15.75" thickBot="1" x14ac:dyDescent="0.3">
      <c r="F8" s="80"/>
      <c r="G8" s="80"/>
      <c r="H8" s="79"/>
      <c r="O8"/>
      <c r="R8"/>
      <c r="S8"/>
      <c r="T8"/>
      <c r="U8"/>
      <c r="V8"/>
      <c r="W8"/>
      <c r="X8"/>
      <c r="Y8"/>
    </row>
    <row r="9" spans="1:33" ht="23.25" thickBot="1" x14ac:dyDescent="0.4">
      <c r="A9" s="202" t="s">
        <v>79</v>
      </c>
      <c r="B9" s="203"/>
      <c r="C9" s="203"/>
      <c r="D9" s="203"/>
      <c r="E9" s="203"/>
      <c r="F9" s="203"/>
      <c r="G9" s="203"/>
      <c r="H9" s="203"/>
      <c r="I9" s="203"/>
      <c r="J9" s="203"/>
      <c r="K9" s="203"/>
      <c r="L9" s="204"/>
      <c r="O9" s="212" t="s">
        <v>80</v>
      </c>
      <c r="P9" s="213"/>
      <c r="Q9" s="213"/>
      <c r="R9" s="213"/>
      <c r="S9" s="213"/>
      <c r="T9" s="213"/>
      <c r="U9" s="213"/>
      <c r="V9" s="213"/>
      <c r="W9" s="213"/>
      <c r="X9" s="213"/>
      <c r="Y9" s="214"/>
    </row>
    <row r="10" spans="1:33" ht="37.9" customHeight="1" thickBot="1" x14ac:dyDescent="0.3">
      <c r="A10" s="82" t="s">
        <v>1</v>
      </c>
      <c r="B10" s="83" t="s">
        <v>81</v>
      </c>
      <c r="C10" s="83" t="s">
        <v>82</v>
      </c>
      <c r="D10" s="83" t="s">
        <v>83</v>
      </c>
      <c r="E10" s="83" t="s">
        <v>84</v>
      </c>
      <c r="F10" s="83" t="s">
        <v>85</v>
      </c>
      <c r="G10" s="83" t="s">
        <v>86</v>
      </c>
      <c r="H10" s="83" t="s">
        <v>87</v>
      </c>
      <c r="I10" s="83" t="s">
        <v>88</v>
      </c>
      <c r="J10" s="83" t="s">
        <v>89</v>
      </c>
      <c r="K10" s="83" t="s">
        <v>90</v>
      </c>
      <c r="L10" s="84" t="s">
        <v>91</v>
      </c>
      <c r="O10" s="155" t="s">
        <v>39</v>
      </c>
      <c r="P10" s="156" t="s">
        <v>92</v>
      </c>
      <c r="Q10" s="157" t="s">
        <v>93</v>
      </c>
      <c r="R10" s="157" t="s">
        <v>94</v>
      </c>
      <c r="S10" s="158" t="s">
        <v>63</v>
      </c>
      <c r="T10" s="158" t="s">
        <v>64</v>
      </c>
      <c r="U10" s="159" t="s">
        <v>95</v>
      </c>
      <c r="V10" s="159" t="s">
        <v>96</v>
      </c>
      <c r="W10" s="160" t="s">
        <v>56</v>
      </c>
      <c r="X10" s="161" t="s">
        <v>97</v>
      </c>
      <c r="Y10" s="155" t="s">
        <v>98</v>
      </c>
      <c r="Z10" t="s">
        <v>68</v>
      </c>
    </row>
    <row r="11" spans="1:33" ht="5.45" customHeight="1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</row>
    <row r="12" spans="1:33" x14ac:dyDescent="0.25">
      <c r="A12" s="64" t="s">
        <v>271</v>
      </c>
      <c r="C12" s="89"/>
      <c r="E12" s="86"/>
      <c r="F12" s="86"/>
      <c r="G12" s="86"/>
      <c r="J12" s="4"/>
      <c r="K12" s="74"/>
      <c r="L12" s="74"/>
      <c r="O12" s="64">
        <v>45635</v>
      </c>
      <c r="P12" t="s">
        <v>353</v>
      </c>
      <c r="Q12" t="s">
        <v>354</v>
      </c>
      <c r="R12" s="162">
        <v>15</v>
      </c>
      <c r="S12" s="134">
        <v>1</v>
      </c>
      <c r="T12" s="134">
        <v>0</v>
      </c>
      <c r="U12" s="4">
        <v>47.06</v>
      </c>
      <c r="V12" s="4">
        <v>0</v>
      </c>
      <c r="W12" s="4">
        <v>47.06</v>
      </c>
      <c r="X12" s="163">
        <v>236.13</v>
      </c>
      <c r="Y12" s="163">
        <v>36.380000000000003</v>
      </c>
      <c r="Z12">
        <v>0</v>
      </c>
    </row>
    <row r="13" spans="1:33" x14ac:dyDescent="0.25">
      <c r="C13" s="89"/>
      <c r="E13" s="86"/>
      <c r="F13" s="86"/>
      <c r="G13" s="86"/>
      <c r="J13" s="4"/>
      <c r="K13" s="74"/>
      <c r="L13" s="74"/>
    </row>
    <row r="14" spans="1:33" x14ac:dyDescent="0.25">
      <c r="C14" s="89"/>
      <c r="E14" s="86"/>
      <c r="F14" s="86"/>
      <c r="G14" s="86"/>
      <c r="J14" s="4"/>
      <c r="K14" s="74"/>
      <c r="L14" s="74"/>
    </row>
    <row r="15" spans="1:33" x14ac:dyDescent="0.25">
      <c r="C15" s="89"/>
      <c r="E15" s="86"/>
      <c r="F15" s="86"/>
      <c r="G15" s="86"/>
      <c r="J15" s="4"/>
      <c r="K15" s="74"/>
      <c r="L15" s="74"/>
    </row>
    <row r="16" spans="1:33" x14ac:dyDescent="0.25">
      <c r="C16" s="89"/>
      <c r="E16" s="86"/>
      <c r="F16" s="86"/>
      <c r="G16" s="86"/>
      <c r="J16" s="4"/>
      <c r="K16" s="74"/>
      <c r="L16" s="74"/>
    </row>
    <row r="17" spans="3:12" x14ac:dyDescent="0.25">
      <c r="C17" s="89"/>
      <c r="E17" s="86"/>
      <c r="F17" s="86"/>
      <c r="G17" s="86"/>
      <c r="J17" s="4"/>
      <c r="K17" s="74"/>
      <c r="L17" s="74"/>
    </row>
    <row r="18" spans="3:12" x14ac:dyDescent="0.25">
      <c r="C18" s="89"/>
      <c r="E18" s="86"/>
      <c r="F18" s="86"/>
      <c r="G18" s="86"/>
      <c r="J18" s="4"/>
      <c r="K18" s="74"/>
      <c r="L18" s="74"/>
    </row>
    <row r="19" spans="3:12" x14ac:dyDescent="0.25">
      <c r="C19" s="89"/>
      <c r="E19" s="86"/>
      <c r="F19" s="86"/>
      <c r="G19" s="86"/>
      <c r="J19" s="4"/>
      <c r="K19" s="74"/>
      <c r="L19" s="74"/>
    </row>
    <row r="20" spans="3:12" x14ac:dyDescent="0.25">
      <c r="C20" s="89"/>
      <c r="E20" s="86"/>
      <c r="F20" s="86"/>
      <c r="G20" s="86"/>
      <c r="J20" s="4"/>
      <c r="K20" s="74"/>
      <c r="L20" s="74"/>
    </row>
    <row r="21" spans="3:12" x14ac:dyDescent="0.25">
      <c r="C21" s="89"/>
      <c r="E21" s="86"/>
      <c r="F21" s="86"/>
      <c r="G21" s="86"/>
      <c r="J21" s="4"/>
      <c r="K21" s="74"/>
      <c r="L21" s="74"/>
    </row>
    <row r="22" spans="3:12" x14ac:dyDescent="0.25">
      <c r="C22" s="89"/>
      <c r="E22" s="86"/>
      <c r="F22" s="86"/>
      <c r="G22" s="86"/>
      <c r="J22" s="4"/>
      <c r="K22" s="74"/>
      <c r="L22" s="74"/>
    </row>
    <row r="23" spans="3:12" x14ac:dyDescent="0.25">
      <c r="C23" s="89"/>
      <c r="E23" s="86"/>
      <c r="F23" s="86"/>
      <c r="G23" s="86"/>
      <c r="J23" s="4"/>
      <c r="K23" s="74"/>
      <c r="L23" s="74"/>
    </row>
    <row r="24" spans="3:12" x14ac:dyDescent="0.25">
      <c r="C24" s="89"/>
      <c r="E24" s="86"/>
      <c r="F24" s="86"/>
      <c r="G24" s="86"/>
      <c r="J24" s="4"/>
      <c r="K24" s="74"/>
      <c r="L24" s="74"/>
    </row>
    <row r="25" spans="3:12" x14ac:dyDescent="0.25">
      <c r="C25" s="89"/>
      <c r="E25" s="86"/>
      <c r="F25" s="86"/>
      <c r="G25" s="86"/>
      <c r="J25" s="4"/>
      <c r="K25" s="74"/>
      <c r="L25" s="74"/>
    </row>
    <row r="26" spans="3:12" x14ac:dyDescent="0.25">
      <c r="C26" s="89"/>
      <c r="E26" s="86"/>
      <c r="F26" s="86"/>
      <c r="G26" s="86"/>
      <c r="J26" s="4"/>
      <c r="K26" s="74"/>
      <c r="L26" s="74"/>
    </row>
    <row r="27" spans="3:12" x14ac:dyDescent="0.25">
      <c r="C27" s="89"/>
      <c r="E27" s="86"/>
      <c r="F27" s="86"/>
      <c r="G27" s="86"/>
      <c r="J27" s="4"/>
      <c r="K27" s="74"/>
      <c r="L27" s="74"/>
    </row>
    <row r="28" spans="3:12" x14ac:dyDescent="0.25">
      <c r="C28" s="89"/>
      <c r="E28" s="86"/>
      <c r="F28" s="86"/>
      <c r="G28" s="86"/>
      <c r="J28" s="4"/>
      <c r="K28" s="74"/>
      <c r="L28" s="74"/>
    </row>
    <row r="29" spans="3:12" x14ac:dyDescent="0.25">
      <c r="C29" s="89"/>
      <c r="E29" s="86"/>
      <c r="F29" s="86"/>
      <c r="G29" s="86"/>
      <c r="J29" s="4"/>
      <c r="K29" s="74"/>
      <c r="L29" s="74"/>
    </row>
    <row r="30" spans="3:12" x14ac:dyDescent="0.25">
      <c r="C30" s="89"/>
      <c r="E30" s="86"/>
      <c r="F30" s="86"/>
      <c r="G30" s="86"/>
      <c r="J30" s="4"/>
      <c r="K30" s="74"/>
      <c r="L30" s="74"/>
    </row>
    <row r="31" spans="3:12" x14ac:dyDescent="0.25">
      <c r="C31" s="89"/>
      <c r="E31" s="86"/>
      <c r="F31" s="86"/>
      <c r="G31" s="86"/>
      <c r="J31" s="4"/>
      <c r="K31" s="74"/>
      <c r="L31" s="74"/>
    </row>
    <row r="32" spans="3:12" x14ac:dyDescent="0.25">
      <c r="C32" s="89"/>
      <c r="E32" s="86"/>
      <c r="F32" s="86"/>
      <c r="G32" s="86"/>
      <c r="J32" s="4"/>
      <c r="K32" s="74"/>
      <c r="L32" s="74"/>
    </row>
    <row r="33" spans="3:12" x14ac:dyDescent="0.25">
      <c r="C33" s="89"/>
      <c r="E33" s="86"/>
      <c r="F33" s="86"/>
      <c r="G33" s="86"/>
      <c r="J33" s="4"/>
      <c r="K33" s="74"/>
      <c r="L33" s="74"/>
    </row>
    <row r="34" spans="3:12" x14ac:dyDescent="0.25">
      <c r="C34" s="89"/>
      <c r="E34" s="86"/>
      <c r="F34" s="86"/>
      <c r="G34" s="86"/>
      <c r="J34" s="4"/>
      <c r="K34" s="74"/>
      <c r="L34" s="74"/>
    </row>
    <row r="35" spans="3:12" x14ac:dyDescent="0.25">
      <c r="C35" s="89"/>
      <c r="E35" s="86"/>
      <c r="F35" s="86"/>
      <c r="G35" s="86"/>
      <c r="J35" s="4"/>
      <c r="K35" s="74"/>
      <c r="L35" s="74"/>
    </row>
    <row r="36" spans="3:12" x14ac:dyDescent="0.25">
      <c r="C36" s="89"/>
      <c r="E36" s="86"/>
      <c r="F36" s="86"/>
      <c r="G36" s="86"/>
      <c r="J36" s="4"/>
      <c r="K36" s="74"/>
      <c r="L36" s="74"/>
    </row>
    <row r="37" spans="3:12" x14ac:dyDescent="0.25">
      <c r="C37" s="89"/>
      <c r="E37" s="86"/>
      <c r="F37" s="86"/>
      <c r="G37" s="86"/>
      <c r="J37" s="4"/>
      <c r="K37" s="74"/>
      <c r="L37" s="74"/>
    </row>
    <row r="38" spans="3:12" x14ac:dyDescent="0.25">
      <c r="C38" s="89"/>
      <c r="E38" s="86"/>
      <c r="F38" s="86"/>
      <c r="G38" s="86"/>
      <c r="J38" s="4"/>
      <c r="K38" s="74"/>
      <c r="L38" s="74"/>
    </row>
    <row r="39" spans="3:12" x14ac:dyDescent="0.25">
      <c r="C39" s="89"/>
      <c r="E39" s="86"/>
      <c r="F39" s="86"/>
      <c r="G39" s="86"/>
      <c r="J39" s="4"/>
      <c r="K39" s="74"/>
      <c r="L39" s="74"/>
    </row>
    <row r="40" spans="3:12" x14ac:dyDescent="0.25">
      <c r="C40" s="89"/>
      <c r="E40" s="86"/>
      <c r="F40" s="86"/>
      <c r="G40" s="86"/>
      <c r="J40" s="4"/>
      <c r="K40" s="74"/>
      <c r="L40" s="74"/>
    </row>
    <row r="41" spans="3:12" x14ac:dyDescent="0.25">
      <c r="C41" s="89"/>
      <c r="E41" s="86"/>
      <c r="F41" s="86"/>
      <c r="G41" s="86"/>
      <c r="J41" s="4"/>
      <c r="K41" s="74"/>
      <c r="L41" s="74"/>
    </row>
    <row r="42" spans="3:12" x14ac:dyDescent="0.25">
      <c r="C42" s="89"/>
      <c r="E42" s="86"/>
      <c r="F42" s="86"/>
      <c r="G42" s="86"/>
      <c r="J42" s="4"/>
      <c r="K42" s="74"/>
      <c r="L42" s="74"/>
    </row>
    <row r="43" spans="3:12" x14ac:dyDescent="0.25">
      <c r="C43" s="89"/>
      <c r="E43" s="86"/>
      <c r="F43" s="86"/>
      <c r="G43" s="86"/>
      <c r="J43" s="4"/>
      <c r="K43" s="74"/>
      <c r="L43" s="74"/>
    </row>
    <row r="44" spans="3:12" x14ac:dyDescent="0.25">
      <c r="C44" s="89"/>
      <c r="E44" s="86"/>
      <c r="F44" s="86"/>
      <c r="G44" s="86"/>
      <c r="J44" s="4"/>
      <c r="K44" s="74"/>
      <c r="L44" s="74"/>
    </row>
    <row r="45" spans="3:12" x14ac:dyDescent="0.25">
      <c r="C45" s="89"/>
      <c r="E45" s="86"/>
      <c r="F45" s="86"/>
      <c r="G45" s="86"/>
      <c r="J45" s="4"/>
      <c r="K45" s="74"/>
      <c r="L45" s="74"/>
    </row>
    <row r="46" spans="3:12" x14ac:dyDescent="0.25">
      <c r="C46" s="89"/>
      <c r="E46" s="86"/>
      <c r="F46" s="86"/>
      <c r="G46" s="86"/>
      <c r="J46" s="4"/>
      <c r="K46" s="74"/>
      <c r="L46" s="74"/>
    </row>
    <row r="47" spans="3:12" x14ac:dyDescent="0.25">
      <c r="C47" s="89"/>
      <c r="E47" s="86"/>
      <c r="F47" s="86"/>
      <c r="G47" s="86"/>
      <c r="J47" s="4"/>
      <c r="K47" s="74"/>
      <c r="L47" s="74"/>
    </row>
    <row r="48" spans="3:12" x14ac:dyDescent="0.25">
      <c r="C48" s="89"/>
      <c r="F48" s="86"/>
      <c r="G48" s="86"/>
      <c r="J48" s="4"/>
      <c r="K48" s="74"/>
      <c r="L48" s="74"/>
    </row>
    <row r="49" spans="3:12" x14ac:dyDescent="0.25">
      <c r="C49" s="89"/>
      <c r="F49" s="86"/>
      <c r="G49" s="86"/>
      <c r="J49" s="4"/>
      <c r="K49" s="74"/>
      <c r="L49" s="74"/>
    </row>
    <row r="50" spans="3:12" x14ac:dyDescent="0.25">
      <c r="C50" s="89"/>
      <c r="F50" s="86"/>
      <c r="G50" s="86"/>
      <c r="J50" s="4"/>
      <c r="K50" s="74"/>
      <c r="L50" s="74"/>
    </row>
    <row r="51" spans="3:12" x14ac:dyDescent="0.25">
      <c r="C51" s="89"/>
      <c r="F51" s="86"/>
      <c r="G51" s="86"/>
      <c r="J51" s="4"/>
      <c r="K51" s="74"/>
      <c r="L51" s="74"/>
    </row>
    <row r="52" spans="3:12" x14ac:dyDescent="0.25">
      <c r="C52" s="89"/>
      <c r="F52" s="86"/>
      <c r="G52" s="86"/>
      <c r="J52" s="4"/>
      <c r="K52" s="74"/>
      <c r="L52" s="74"/>
    </row>
    <row r="53" spans="3:12" x14ac:dyDescent="0.25">
      <c r="C53" s="89"/>
      <c r="F53" s="86"/>
      <c r="G53" s="86"/>
      <c r="J53" s="4"/>
      <c r="K53" s="74"/>
      <c r="L53" s="74"/>
    </row>
    <row r="54" spans="3:12" x14ac:dyDescent="0.25">
      <c r="C54" s="89"/>
      <c r="F54" s="86"/>
      <c r="G54" s="86"/>
      <c r="J54" s="4"/>
      <c r="K54" s="74"/>
      <c r="L54" s="74"/>
    </row>
    <row r="55" spans="3:12" x14ac:dyDescent="0.25">
      <c r="C55" s="89"/>
      <c r="F55" s="86"/>
      <c r="G55" s="86"/>
      <c r="J55" s="4"/>
      <c r="K55" s="74"/>
      <c r="L55" s="74"/>
    </row>
    <row r="56" spans="3:12" x14ac:dyDescent="0.25">
      <c r="C56" s="89"/>
      <c r="F56" s="86"/>
      <c r="G56" s="86"/>
      <c r="J56" s="4"/>
      <c r="K56" s="74"/>
      <c r="L56" s="74"/>
    </row>
    <row r="57" spans="3:12" x14ac:dyDescent="0.25">
      <c r="C57" s="89"/>
      <c r="F57" s="86"/>
      <c r="G57" s="86"/>
      <c r="J57" s="4"/>
      <c r="K57" s="74"/>
      <c r="L57" s="74"/>
    </row>
    <row r="58" spans="3:12" x14ac:dyDescent="0.25">
      <c r="C58" s="89"/>
      <c r="F58" s="86"/>
      <c r="G58" s="86"/>
      <c r="J58" s="4"/>
      <c r="K58" s="74"/>
      <c r="L58" s="74"/>
    </row>
    <row r="59" spans="3:12" x14ac:dyDescent="0.25">
      <c r="C59" s="89"/>
      <c r="F59" s="86"/>
      <c r="G59" s="86"/>
      <c r="J59" s="4"/>
      <c r="K59" s="74"/>
      <c r="L59" s="74"/>
    </row>
    <row r="60" spans="3:12" x14ac:dyDescent="0.25">
      <c r="C60" s="89"/>
      <c r="F60" s="86"/>
      <c r="G60" s="86"/>
      <c r="J60" s="4"/>
      <c r="K60" s="74"/>
      <c r="L60" s="74"/>
    </row>
    <row r="61" spans="3:12" x14ac:dyDescent="0.25">
      <c r="C61" s="89"/>
      <c r="F61" s="86"/>
      <c r="G61" s="86"/>
      <c r="J61" s="4"/>
      <c r="K61" s="74"/>
      <c r="L61" s="74"/>
    </row>
    <row r="62" spans="3:12" x14ac:dyDescent="0.25">
      <c r="F62" s="86"/>
      <c r="G62" s="86"/>
      <c r="J62" s="4"/>
      <c r="K62" s="74"/>
      <c r="L62" s="74"/>
    </row>
    <row r="63" spans="3:12" x14ac:dyDescent="0.25">
      <c r="F63" s="86"/>
      <c r="G63" s="86"/>
      <c r="J63" s="4"/>
      <c r="K63" s="74"/>
      <c r="L63" s="74"/>
    </row>
    <row r="64" spans="3:12" x14ac:dyDescent="0.25">
      <c r="F64" s="86"/>
      <c r="G64" s="86"/>
      <c r="J64" s="4"/>
      <c r="K64" s="74"/>
      <c r="L64" s="74"/>
    </row>
    <row r="65" spans="6:12" x14ac:dyDescent="0.25">
      <c r="F65" s="86"/>
      <c r="G65" s="86"/>
      <c r="J65" s="4"/>
      <c r="K65" s="74"/>
      <c r="L65" s="74"/>
    </row>
    <row r="66" spans="6:12" x14ac:dyDescent="0.25">
      <c r="F66" s="86"/>
      <c r="G66" s="86"/>
      <c r="J66" s="4"/>
      <c r="K66" s="74"/>
      <c r="L66" s="74"/>
    </row>
    <row r="67" spans="6:12" x14ac:dyDescent="0.25">
      <c r="F67" s="86"/>
      <c r="G67" s="86"/>
      <c r="J67" s="4"/>
      <c r="K67" s="74"/>
      <c r="L67" s="74"/>
    </row>
    <row r="68" spans="6:12" x14ac:dyDescent="0.25">
      <c r="F68" s="86"/>
      <c r="G68" s="86"/>
      <c r="J68" s="4"/>
      <c r="K68" s="74"/>
      <c r="L68" s="74"/>
    </row>
    <row r="69" spans="6:12" x14ac:dyDescent="0.25">
      <c r="F69" s="86"/>
      <c r="G69" s="86"/>
      <c r="J69" s="4"/>
      <c r="K69" s="74"/>
      <c r="L69" s="74"/>
    </row>
    <row r="70" spans="6:12" x14ac:dyDescent="0.25">
      <c r="F70" s="86"/>
      <c r="G70" s="86"/>
      <c r="J70" s="4"/>
      <c r="K70" s="74"/>
      <c r="L70" s="74"/>
    </row>
    <row r="71" spans="6:12" x14ac:dyDescent="0.25">
      <c r="F71" s="86"/>
      <c r="G71" s="86"/>
      <c r="J71" s="4"/>
      <c r="K71" s="74"/>
      <c r="L71" s="74"/>
    </row>
    <row r="72" spans="6:12" x14ac:dyDescent="0.25">
      <c r="F72" s="86"/>
      <c r="G72" s="86"/>
      <c r="J72" s="4"/>
      <c r="K72" s="74"/>
      <c r="L72" s="74"/>
    </row>
    <row r="73" spans="6:12" x14ac:dyDescent="0.25">
      <c r="F73" s="86"/>
      <c r="G73" s="86"/>
      <c r="J73" s="4"/>
      <c r="K73" s="74"/>
      <c r="L73" s="74"/>
    </row>
    <row r="74" spans="6:12" x14ac:dyDescent="0.25">
      <c r="F74" s="86"/>
      <c r="G74" s="86"/>
      <c r="J74" s="4"/>
      <c r="K74" s="74"/>
      <c r="L74" s="74"/>
    </row>
    <row r="75" spans="6:12" x14ac:dyDescent="0.25">
      <c r="F75" s="86"/>
      <c r="G75" s="86"/>
      <c r="J75" s="4"/>
      <c r="K75" s="74"/>
      <c r="L75" s="74"/>
    </row>
    <row r="76" spans="6:12" x14ac:dyDescent="0.25">
      <c r="F76" s="86"/>
      <c r="G76" s="86"/>
      <c r="J76" s="4"/>
      <c r="K76" s="74"/>
      <c r="L76" s="74"/>
    </row>
    <row r="77" spans="6:12" x14ac:dyDescent="0.25">
      <c r="F77" s="86"/>
      <c r="G77" s="86"/>
      <c r="J77" s="4"/>
      <c r="K77" s="74"/>
      <c r="L77" s="74"/>
    </row>
    <row r="78" spans="6:12" x14ac:dyDescent="0.25">
      <c r="F78" s="86"/>
      <c r="G78" s="86"/>
      <c r="J78" s="4"/>
      <c r="K78" s="74"/>
      <c r="L78" s="74"/>
    </row>
    <row r="79" spans="6:12" x14ac:dyDescent="0.25">
      <c r="F79" s="86"/>
      <c r="G79" s="86"/>
      <c r="J79" s="4"/>
      <c r="K79" s="74"/>
      <c r="L79" s="74"/>
    </row>
    <row r="80" spans="6:12" x14ac:dyDescent="0.25">
      <c r="F80" s="86"/>
      <c r="G80" s="86"/>
      <c r="J80" s="4"/>
      <c r="K80" s="74"/>
      <c r="L80" s="74"/>
    </row>
    <row r="81" spans="6:12" x14ac:dyDescent="0.25">
      <c r="F81" s="86"/>
      <c r="G81" s="86"/>
      <c r="J81" s="4"/>
      <c r="K81" s="74"/>
      <c r="L81" s="74"/>
    </row>
    <row r="82" spans="6:12" x14ac:dyDescent="0.25">
      <c r="F82" s="86"/>
      <c r="G82" s="86"/>
      <c r="J82" s="4"/>
      <c r="K82" s="74"/>
      <c r="L82" s="74"/>
    </row>
    <row r="83" spans="6:12" x14ac:dyDescent="0.25">
      <c r="F83" s="86"/>
      <c r="G83" s="86"/>
      <c r="J83" s="4"/>
      <c r="K83" s="74"/>
      <c r="L83" s="74"/>
    </row>
    <row r="84" spans="6:12" x14ac:dyDescent="0.25">
      <c r="F84" s="86"/>
      <c r="G84" s="86"/>
      <c r="J84" s="4"/>
      <c r="K84" s="74"/>
      <c r="L84" s="74"/>
    </row>
    <row r="85" spans="6:12" x14ac:dyDescent="0.25">
      <c r="F85" s="86"/>
      <c r="G85" s="86"/>
      <c r="J85" s="4"/>
      <c r="K85" s="74"/>
      <c r="L85" s="74"/>
    </row>
    <row r="86" spans="6:12" x14ac:dyDescent="0.25">
      <c r="F86" s="86"/>
      <c r="G86" s="86"/>
      <c r="J86" s="4"/>
      <c r="K86" s="74"/>
      <c r="L86" s="74"/>
    </row>
    <row r="87" spans="6:12" x14ac:dyDescent="0.25">
      <c r="F87" s="86"/>
      <c r="G87" s="86"/>
      <c r="J87" s="4"/>
      <c r="K87" s="74"/>
      <c r="L87" s="74"/>
    </row>
    <row r="88" spans="6:12" x14ac:dyDescent="0.25">
      <c r="F88" s="86"/>
      <c r="G88" s="86"/>
      <c r="J88" s="4"/>
      <c r="K88" s="74"/>
      <c r="L88" s="74"/>
    </row>
    <row r="89" spans="6:12" x14ac:dyDescent="0.25">
      <c r="F89" s="86"/>
      <c r="G89" s="86"/>
      <c r="J89" s="4"/>
      <c r="K89" s="74"/>
      <c r="L89" s="74"/>
    </row>
    <row r="90" spans="6:12" x14ac:dyDescent="0.25">
      <c r="F90" s="86"/>
      <c r="G90" s="86"/>
      <c r="J90" s="4"/>
      <c r="K90" s="74"/>
      <c r="L90" s="74"/>
    </row>
    <row r="91" spans="6:12" x14ac:dyDescent="0.25">
      <c r="F91" s="86"/>
      <c r="G91" s="86"/>
      <c r="J91" s="4"/>
      <c r="K91" s="74"/>
      <c r="L91" s="74"/>
    </row>
    <row r="92" spans="6:12" x14ac:dyDescent="0.25">
      <c r="F92" s="86"/>
      <c r="G92" s="86"/>
      <c r="J92" s="4"/>
      <c r="K92" s="74"/>
      <c r="L92" s="74"/>
    </row>
    <row r="93" spans="6:12" x14ac:dyDescent="0.25">
      <c r="F93" s="86"/>
      <c r="G93" s="86"/>
      <c r="J93" s="4"/>
      <c r="K93" s="74"/>
      <c r="L93" s="74"/>
    </row>
    <row r="94" spans="6:12" x14ac:dyDescent="0.25">
      <c r="F94" s="86"/>
      <c r="G94" s="86"/>
      <c r="J94" s="4"/>
      <c r="K94" s="74"/>
      <c r="L94" s="74"/>
    </row>
    <row r="95" spans="6:12" x14ac:dyDescent="0.25">
      <c r="F95" s="86"/>
      <c r="G95" s="86"/>
      <c r="J95" s="4"/>
      <c r="K95" s="74"/>
      <c r="L95" s="74"/>
    </row>
    <row r="96" spans="6:12" x14ac:dyDescent="0.25">
      <c r="F96" s="86"/>
      <c r="G96" s="86"/>
      <c r="J96" s="4"/>
      <c r="K96" s="74"/>
      <c r="L96" s="74"/>
    </row>
    <row r="97" spans="6:12" x14ac:dyDescent="0.25">
      <c r="F97" s="86"/>
      <c r="G97" s="86"/>
      <c r="J97" s="4"/>
      <c r="K97" s="74"/>
      <c r="L97" s="74"/>
    </row>
    <row r="98" spans="6:12" x14ac:dyDescent="0.25">
      <c r="F98" s="86"/>
      <c r="G98" s="86"/>
      <c r="J98" s="4"/>
      <c r="L98" s="74"/>
    </row>
    <row r="99" spans="6:12" x14ac:dyDescent="0.25">
      <c r="F99" s="86"/>
      <c r="G99" s="86"/>
      <c r="J99" s="4"/>
      <c r="L99" s="74"/>
    </row>
    <row r="100" spans="6:12" x14ac:dyDescent="0.25">
      <c r="F100" s="86"/>
      <c r="G100" s="86"/>
      <c r="J100" s="4"/>
      <c r="L100" s="74"/>
    </row>
    <row r="101" spans="6:12" x14ac:dyDescent="0.25">
      <c r="F101" s="86"/>
      <c r="G101" s="86"/>
      <c r="J101" s="4"/>
      <c r="L101" s="74"/>
    </row>
    <row r="102" spans="6:12" x14ac:dyDescent="0.25">
      <c r="F102" s="86"/>
      <c r="G102" s="86"/>
      <c r="J102" s="4"/>
      <c r="L102" s="74"/>
    </row>
    <row r="103" spans="6:12" x14ac:dyDescent="0.25">
      <c r="F103" s="86"/>
      <c r="G103" s="86"/>
      <c r="J103" s="4"/>
      <c r="L103" s="74"/>
    </row>
    <row r="104" spans="6:12" x14ac:dyDescent="0.25">
      <c r="F104" s="86"/>
      <c r="G104" s="86"/>
      <c r="J104" s="4"/>
      <c r="L104" s="74"/>
    </row>
    <row r="105" spans="6:12" x14ac:dyDescent="0.25">
      <c r="F105" s="86"/>
      <c r="G105" s="86"/>
      <c r="J105" s="4"/>
      <c r="L105" s="74"/>
    </row>
    <row r="106" spans="6:12" x14ac:dyDescent="0.25">
      <c r="F106" s="86"/>
      <c r="G106" s="86"/>
      <c r="J106" s="4"/>
      <c r="L106" s="74"/>
    </row>
    <row r="107" spans="6:12" x14ac:dyDescent="0.25">
      <c r="F107" s="86"/>
      <c r="G107" s="86"/>
      <c r="J107" s="4"/>
      <c r="L107" s="74"/>
    </row>
    <row r="108" spans="6:12" x14ac:dyDescent="0.25">
      <c r="F108" s="86"/>
      <c r="G108" s="86"/>
      <c r="J108" s="4"/>
      <c r="L108" s="74"/>
    </row>
    <row r="109" spans="6:12" x14ac:dyDescent="0.25">
      <c r="F109" s="86"/>
      <c r="G109" s="86"/>
      <c r="J109" s="4"/>
      <c r="L109" s="74"/>
    </row>
    <row r="110" spans="6:12" x14ac:dyDescent="0.25">
      <c r="F110" s="86"/>
      <c r="G110" s="86"/>
      <c r="J110" s="4"/>
      <c r="L110" s="74"/>
    </row>
    <row r="111" spans="6:12" x14ac:dyDescent="0.25">
      <c r="F111" s="86"/>
      <c r="G111" s="86"/>
      <c r="J111" s="4"/>
      <c r="L111" s="74"/>
    </row>
    <row r="112" spans="6:12" x14ac:dyDescent="0.25">
      <c r="G112" s="86"/>
      <c r="L112" s="74"/>
    </row>
    <row r="113" spans="7:12" x14ac:dyDescent="0.25">
      <c r="G113" s="86"/>
      <c r="L113" s="74"/>
    </row>
    <row r="114" spans="7:12" x14ac:dyDescent="0.25">
      <c r="G114" s="86"/>
      <c r="L114" s="74"/>
    </row>
    <row r="115" spans="7:12" x14ac:dyDescent="0.25">
      <c r="G115" s="86"/>
      <c r="L115" s="74"/>
    </row>
    <row r="116" spans="7:12" x14ac:dyDescent="0.25">
      <c r="L116" s="74"/>
    </row>
    <row r="117" spans="7:12" x14ac:dyDescent="0.25">
      <c r="L117" s="74"/>
    </row>
    <row r="118" spans="7:12" x14ac:dyDescent="0.25">
      <c r="L118" s="74"/>
    </row>
    <row r="119" spans="7:12" x14ac:dyDescent="0.25">
      <c r="L119" s="74"/>
    </row>
    <row r="120" spans="7:12" x14ac:dyDescent="0.25">
      <c r="L120" s="74"/>
    </row>
    <row r="121" spans="7:12" x14ac:dyDescent="0.25">
      <c r="L121" s="74"/>
    </row>
  </sheetData>
  <protectedRanges>
    <protectedRange sqref="A2:C2" name="Range1_1"/>
  </protectedRanges>
  <mergeCells count="9">
    <mergeCell ref="U1:W1"/>
    <mergeCell ref="X1:AA1"/>
    <mergeCell ref="O9:Y9"/>
    <mergeCell ref="A9:L9"/>
    <mergeCell ref="D1:E1"/>
    <mergeCell ref="G1:H1"/>
    <mergeCell ref="J1:K1"/>
    <mergeCell ref="A2:C2"/>
    <mergeCell ref="B4:C4"/>
  </mergeCell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E3A2F-ED92-47E5-8F7D-B1408C080FDC}">
  <sheetPr codeName="Sheet7"/>
  <dimension ref="A1:L136"/>
  <sheetViews>
    <sheetView workbookViewId="0">
      <selection activeCell="H17" sqref="H17"/>
    </sheetView>
  </sheetViews>
  <sheetFormatPr defaultRowHeight="15" x14ac:dyDescent="0.25"/>
  <cols>
    <col min="1" max="1" width="10.7109375" bestFit="1" customWidth="1"/>
    <col min="2" max="2" width="15.140625" bestFit="1" customWidth="1"/>
    <col min="3" max="3" width="7.5703125" bestFit="1" customWidth="1"/>
    <col min="4" max="4" width="11.28515625" bestFit="1" customWidth="1"/>
    <col min="5" max="6" width="8.42578125" bestFit="1" customWidth="1"/>
    <col min="7" max="7" width="8.28515625" bestFit="1" customWidth="1"/>
    <col min="8" max="8" width="31.28515625" bestFit="1" customWidth="1"/>
    <col min="9" max="9" width="18.28515625" bestFit="1" customWidth="1"/>
    <col min="10" max="10" width="26" bestFit="1" customWidth="1"/>
    <col min="11" max="11" width="9.85546875" bestFit="1" customWidth="1"/>
    <col min="12" max="12" width="21.7109375" bestFit="1" customWidth="1"/>
  </cols>
  <sheetData>
    <row r="1" spans="1:12" x14ac:dyDescent="0.25">
      <c r="A1" t="s">
        <v>1</v>
      </c>
      <c r="B1" t="s">
        <v>105</v>
      </c>
      <c r="C1" t="s">
        <v>26</v>
      </c>
      <c r="D1" t="s">
        <v>228</v>
      </c>
      <c r="E1" t="s">
        <v>229</v>
      </c>
      <c r="F1" t="s">
        <v>230</v>
      </c>
      <c r="G1" t="s">
        <v>231</v>
      </c>
      <c r="H1" t="s">
        <v>102</v>
      </c>
      <c r="I1" t="s">
        <v>272</v>
      </c>
      <c r="J1" t="s">
        <v>86</v>
      </c>
      <c r="K1" t="s">
        <v>90</v>
      </c>
      <c r="L1" t="s">
        <v>91</v>
      </c>
    </row>
    <row r="2" spans="1:12" x14ac:dyDescent="0.25">
      <c r="A2" s="64">
        <v>45628</v>
      </c>
      <c r="C2">
        <v>0</v>
      </c>
      <c r="D2" t="s">
        <v>268</v>
      </c>
      <c r="E2">
        <v>0</v>
      </c>
      <c r="F2">
        <v>0</v>
      </c>
      <c r="G2">
        <v>0</v>
      </c>
      <c r="J2">
        <v>0</v>
      </c>
      <c r="L2">
        <v>0</v>
      </c>
    </row>
    <row r="3" spans="1:12" x14ac:dyDescent="0.25">
      <c r="A3" s="64">
        <v>45628</v>
      </c>
      <c r="C3">
        <v>0</v>
      </c>
      <c r="D3" t="s">
        <v>220</v>
      </c>
      <c r="E3">
        <v>0</v>
      </c>
      <c r="F3">
        <v>0</v>
      </c>
      <c r="G3">
        <v>0</v>
      </c>
      <c r="J3">
        <v>0</v>
      </c>
      <c r="L3">
        <v>0</v>
      </c>
    </row>
    <row r="4" spans="1:12" x14ac:dyDescent="0.25">
      <c r="A4" s="64">
        <v>45628</v>
      </c>
      <c r="B4" t="s">
        <v>232</v>
      </c>
      <c r="C4">
        <v>0</v>
      </c>
      <c r="D4" t="s">
        <v>225</v>
      </c>
      <c r="E4">
        <v>0</v>
      </c>
      <c r="F4">
        <v>0</v>
      </c>
      <c r="G4">
        <v>0</v>
      </c>
      <c r="H4" t="s">
        <v>227</v>
      </c>
      <c r="I4">
        <v>21.5</v>
      </c>
      <c r="J4">
        <v>0</v>
      </c>
      <c r="K4">
        <v>0</v>
      </c>
      <c r="L4">
        <v>0</v>
      </c>
    </row>
    <row r="5" spans="1:12" x14ac:dyDescent="0.25">
      <c r="A5" s="64">
        <v>45628</v>
      </c>
      <c r="B5" t="s">
        <v>232</v>
      </c>
      <c r="C5">
        <v>18</v>
      </c>
      <c r="D5" t="s">
        <v>212</v>
      </c>
      <c r="E5">
        <v>0.5</v>
      </c>
      <c r="F5">
        <v>10.9</v>
      </c>
      <c r="G5">
        <v>116.9</v>
      </c>
      <c r="H5" t="s">
        <v>214</v>
      </c>
      <c r="I5">
        <v>21.5</v>
      </c>
      <c r="J5">
        <v>10.4</v>
      </c>
      <c r="K5">
        <v>223.6</v>
      </c>
      <c r="L5">
        <v>0</v>
      </c>
    </row>
    <row r="6" spans="1:12" x14ac:dyDescent="0.25">
      <c r="A6" s="64">
        <v>45628</v>
      </c>
      <c r="B6" t="s">
        <v>232</v>
      </c>
      <c r="C6">
        <v>9</v>
      </c>
      <c r="D6" t="s">
        <v>269</v>
      </c>
      <c r="E6">
        <v>0.5</v>
      </c>
      <c r="F6">
        <v>10.67</v>
      </c>
      <c r="G6">
        <v>115.7</v>
      </c>
      <c r="H6" t="s">
        <v>372</v>
      </c>
      <c r="I6">
        <v>21.5</v>
      </c>
      <c r="J6">
        <v>10.17</v>
      </c>
      <c r="K6">
        <v>218.655</v>
      </c>
      <c r="L6">
        <v>0</v>
      </c>
    </row>
    <row r="7" spans="1:12" x14ac:dyDescent="0.25">
      <c r="A7" s="64">
        <v>45628</v>
      </c>
      <c r="B7" t="s">
        <v>232</v>
      </c>
      <c r="C7">
        <v>13</v>
      </c>
      <c r="D7" t="s">
        <v>204</v>
      </c>
      <c r="E7">
        <v>0.5</v>
      </c>
      <c r="F7">
        <v>10.57</v>
      </c>
      <c r="G7">
        <v>75.7</v>
      </c>
      <c r="H7" t="s">
        <v>112</v>
      </c>
      <c r="I7">
        <v>21.5</v>
      </c>
      <c r="J7">
        <v>10.07</v>
      </c>
      <c r="K7">
        <v>216.505</v>
      </c>
      <c r="L7">
        <v>0</v>
      </c>
    </row>
    <row r="8" spans="1:12" x14ac:dyDescent="0.25">
      <c r="A8" s="64">
        <v>45628</v>
      </c>
      <c r="B8" t="s">
        <v>232</v>
      </c>
      <c r="C8">
        <v>14</v>
      </c>
      <c r="D8" t="s">
        <v>215</v>
      </c>
      <c r="E8">
        <v>0.5</v>
      </c>
      <c r="F8">
        <v>10.8</v>
      </c>
      <c r="G8">
        <v>99.6</v>
      </c>
      <c r="H8" t="s">
        <v>217</v>
      </c>
      <c r="I8">
        <v>21.5</v>
      </c>
      <c r="J8">
        <v>10.3</v>
      </c>
      <c r="K8">
        <v>221.45</v>
      </c>
      <c r="L8">
        <v>0</v>
      </c>
    </row>
    <row r="9" spans="1:12" x14ac:dyDescent="0.25">
      <c r="A9" s="64">
        <v>45628</v>
      </c>
      <c r="B9" t="s">
        <v>232</v>
      </c>
      <c r="C9">
        <v>15</v>
      </c>
      <c r="D9" t="s">
        <v>222</v>
      </c>
      <c r="E9">
        <v>0.5</v>
      </c>
      <c r="F9">
        <v>10.33</v>
      </c>
      <c r="G9">
        <v>126.7</v>
      </c>
      <c r="H9" t="s">
        <v>224</v>
      </c>
      <c r="I9">
        <v>21.5</v>
      </c>
      <c r="J9">
        <v>9.83</v>
      </c>
      <c r="K9">
        <v>211.345</v>
      </c>
      <c r="L9">
        <v>0</v>
      </c>
    </row>
    <row r="10" spans="1:12" x14ac:dyDescent="0.25">
      <c r="A10" s="64">
        <v>45628</v>
      </c>
      <c r="B10" t="s">
        <v>232</v>
      </c>
      <c r="C10">
        <v>15</v>
      </c>
      <c r="D10" t="s">
        <v>209</v>
      </c>
      <c r="E10">
        <v>0.5</v>
      </c>
      <c r="F10">
        <v>10.220000000000001</v>
      </c>
      <c r="G10">
        <v>109.4</v>
      </c>
      <c r="H10" t="s">
        <v>211</v>
      </c>
      <c r="I10">
        <v>21.5</v>
      </c>
      <c r="J10">
        <v>9.7200000000000006</v>
      </c>
      <c r="K10">
        <v>208.98</v>
      </c>
      <c r="L10">
        <v>0</v>
      </c>
    </row>
    <row r="11" spans="1:12" x14ac:dyDescent="0.25">
      <c r="A11" s="64">
        <v>45628</v>
      </c>
      <c r="B11" t="s">
        <v>232</v>
      </c>
      <c r="C11">
        <v>0</v>
      </c>
      <c r="D11" t="s">
        <v>266</v>
      </c>
      <c r="E11">
        <v>0</v>
      </c>
      <c r="F11">
        <v>0</v>
      </c>
      <c r="G11">
        <v>0</v>
      </c>
      <c r="H11" t="s">
        <v>360</v>
      </c>
      <c r="I11">
        <v>21.5</v>
      </c>
      <c r="J11">
        <v>0</v>
      </c>
      <c r="K11">
        <v>0</v>
      </c>
      <c r="L11">
        <v>0</v>
      </c>
    </row>
    <row r="12" spans="1:12" x14ac:dyDescent="0.25">
      <c r="A12" s="64">
        <v>45628</v>
      </c>
      <c r="B12" t="s">
        <v>232</v>
      </c>
      <c r="C12">
        <v>12</v>
      </c>
      <c r="D12" t="s">
        <v>218</v>
      </c>
      <c r="E12">
        <v>0.5</v>
      </c>
      <c r="F12">
        <v>10</v>
      </c>
      <c r="G12">
        <v>123.3</v>
      </c>
      <c r="H12" t="s">
        <v>371</v>
      </c>
      <c r="I12">
        <v>21.5</v>
      </c>
      <c r="J12">
        <v>9.5</v>
      </c>
      <c r="K12">
        <v>204.25</v>
      </c>
      <c r="L12">
        <v>0</v>
      </c>
    </row>
    <row r="13" spans="1:12" x14ac:dyDescent="0.25">
      <c r="A13" s="64">
        <v>45628</v>
      </c>
      <c r="B13" t="s">
        <v>232</v>
      </c>
      <c r="C13">
        <v>0</v>
      </c>
      <c r="D13" t="s">
        <v>206</v>
      </c>
      <c r="E13">
        <v>0</v>
      </c>
      <c r="F13">
        <v>0</v>
      </c>
      <c r="G13">
        <v>0</v>
      </c>
      <c r="H13" t="s">
        <v>208</v>
      </c>
      <c r="I13">
        <v>21.5</v>
      </c>
      <c r="J13">
        <v>0</v>
      </c>
      <c r="K13">
        <v>0</v>
      </c>
      <c r="L13">
        <v>0</v>
      </c>
    </row>
    <row r="14" spans="1:12" x14ac:dyDescent="0.25">
      <c r="A14" s="64">
        <v>45629</v>
      </c>
      <c r="C14">
        <v>0</v>
      </c>
      <c r="D14" t="s">
        <v>270</v>
      </c>
      <c r="E14">
        <v>0</v>
      </c>
      <c r="F14">
        <v>0</v>
      </c>
      <c r="G14">
        <v>0</v>
      </c>
      <c r="J14">
        <v>0</v>
      </c>
      <c r="L14">
        <v>0</v>
      </c>
    </row>
    <row r="15" spans="1:12" x14ac:dyDescent="0.25">
      <c r="A15" s="64">
        <v>45629</v>
      </c>
      <c r="C15">
        <v>0</v>
      </c>
      <c r="D15" t="s">
        <v>268</v>
      </c>
      <c r="E15">
        <v>0</v>
      </c>
      <c r="F15">
        <v>0</v>
      </c>
      <c r="G15">
        <v>0</v>
      </c>
      <c r="J15">
        <v>0</v>
      </c>
      <c r="L15">
        <v>0</v>
      </c>
    </row>
    <row r="16" spans="1:12" x14ac:dyDescent="0.25">
      <c r="A16" s="64">
        <v>45629</v>
      </c>
      <c r="C16">
        <v>0</v>
      </c>
      <c r="D16" t="s">
        <v>220</v>
      </c>
      <c r="E16">
        <v>0</v>
      </c>
      <c r="F16">
        <v>0</v>
      </c>
      <c r="G16">
        <v>0</v>
      </c>
      <c r="J16">
        <v>0</v>
      </c>
      <c r="L16">
        <v>0</v>
      </c>
    </row>
    <row r="17" spans="1:12" x14ac:dyDescent="0.25">
      <c r="A17" s="64">
        <v>45629</v>
      </c>
      <c r="B17" t="s">
        <v>232</v>
      </c>
      <c r="C17">
        <v>11</v>
      </c>
      <c r="D17" t="s">
        <v>225</v>
      </c>
      <c r="E17">
        <v>0.5</v>
      </c>
      <c r="F17">
        <v>9.52</v>
      </c>
      <c r="G17">
        <v>113.5</v>
      </c>
      <c r="H17" t="s">
        <v>227</v>
      </c>
      <c r="I17">
        <v>21.5</v>
      </c>
      <c r="J17">
        <v>9.02</v>
      </c>
      <c r="K17">
        <v>193.93</v>
      </c>
      <c r="L17">
        <v>0</v>
      </c>
    </row>
    <row r="18" spans="1:12" x14ac:dyDescent="0.25">
      <c r="A18" s="64">
        <v>45629</v>
      </c>
      <c r="B18" t="s">
        <v>232</v>
      </c>
      <c r="C18">
        <v>15</v>
      </c>
      <c r="D18" t="s">
        <v>212</v>
      </c>
      <c r="E18">
        <v>0.5</v>
      </c>
      <c r="F18">
        <v>10.8</v>
      </c>
      <c r="G18">
        <v>126.4</v>
      </c>
      <c r="H18" t="s">
        <v>214</v>
      </c>
      <c r="I18">
        <v>21.5</v>
      </c>
      <c r="J18">
        <v>10.3</v>
      </c>
      <c r="K18">
        <v>221.45</v>
      </c>
      <c r="L18">
        <v>0</v>
      </c>
    </row>
    <row r="19" spans="1:12" x14ac:dyDescent="0.25">
      <c r="A19" s="64">
        <v>45629</v>
      </c>
      <c r="B19" t="s">
        <v>232</v>
      </c>
      <c r="C19">
        <v>14</v>
      </c>
      <c r="D19" t="s">
        <v>269</v>
      </c>
      <c r="E19">
        <v>0.5</v>
      </c>
      <c r="F19">
        <v>10.85</v>
      </c>
      <c r="G19">
        <v>106</v>
      </c>
      <c r="H19" t="s">
        <v>372</v>
      </c>
      <c r="I19">
        <v>21.5</v>
      </c>
      <c r="J19">
        <v>10.35</v>
      </c>
      <c r="K19">
        <v>222.52500000000001</v>
      </c>
      <c r="L19">
        <v>0</v>
      </c>
    </row>
    <row r="20" spans="1:12" x14ac:dyDescent="0.25">
      <c r="A20" s="64">
        <v>45629</v>
      </c>
      <c r="B20" t="s">
        <v>232</v>
      </c>
      <c r="C20">
        <v>6</v>
      </c>
      <c r="D20" t="s">
        <v>204</v>
      </c>
      <c r="E20">
        <v>0.5</v>
      </c>
      <c r="F20">
        <v>10</v>
      </c>
      <c r="G20">
        <v>94.8</v>
      </c>
      <c r="H20" t="s">
        <v>112</v>
      </c>
      <c r="I20">
        <v>21.5</v>
      </c>
      <c r="J20">
        <v>9.5</v>
      </c>
      <c r="K20">
        <v>204.25</v>
      </c>
      <c r="L20">
        <v>0</v>
      </c>
    </row>
    <row r="21" spans="1:12" x14ac:dyDescent="0.25">
      <c r="A21" s="64">
        <v>45629</v>
      </c>
      <c r="B21" t="s">
        <v>232</v>
      </c>
      <c r="C21">
        <v>18</v>
      </c>
      <c r="D21" t="s">
        <v>215</v>
      </c>
      <c r="E21">
        <v>0.5</v>
      </c>
      <c r="F21">
        <v>9.98</v>
      </c>
      <c r="G21">
        <v>127.5</v>
      </c>
      <c r="H21" t="s">
        <v>217</v>
      </c>
      <c r="I21">
        <v>21.5</v>
      </c>
      <c r="J21">
        <v>9.48</v>
      </c>
      <c r="K21">
        <v>203.82</v>
      </c>
      <c r="L21">
        <v>0</v>
      </c>
    </row>
    <row r="22" spans="1:12" x14ac:dyDescent="0.25">
      <c r="A22" s="64">
        <v>45629</v>
      </c>
      <c r="B22" t="s">
        <v>232</v>
      </c>
      <c r="C22">
        <v>15</v>
      </c>
      <c r="D22" t="s">
        <v>222</v>
      </c>
      <c r="E22">
        <v>0.5</v>
      </c>
      <c r="F22">
        <v>10.63</v>
      </c>
      <c r="G22">
        <v>144.19999999999999</v>
      </c>
      <c r="H22" t="s">
        <v>224</v>
      </c>
      <c r="I22">
        <v>21.5</v>
      </c>
      <c r="J22">
        <v>10.130000000000001</v>
      </c>
      <c r="K22">
        <v>217.79499999999999</v>
      </c>
      <c r="L22">
        <v>0</v>
      </c>
    </row>
    <row r="23" spans="1:12" x14ac:dyDescent="0.25">
      <c r="A23" s="64">
        <v>45629</v>
      </c>
      <c r="B23" t="s">
        <v>232</v>
      </c>
      <c r="C23">
        <v>10</v>
      </c>
      <c r="D23" t="s">
        <v>209</v>
      </c>
      <c r="E23">
        <v>0.5</v>
      </c>
      <c r="F23">
        <v>10.67</v>
      </c>
      <c r="G23">
        <v>112.9</v>
      </c>
      <c r="H23" t="s">
        <v>211</v>
      </c>
      <c r="I23">
        <v>21.5</v>
      </c>
      <c r="J23">
        <v>10.17</v>
      </c>
      <c r="K23">
        <v>218.655</v>
      </c>
      <c r="L23">
        <v>0</v>
      </c>
    </row>
    <row r="24" spans="1:12" x14ac:dyDescent="0.25">
      <c r="A24" s="64">
        <v>45629</v>
      </c>
      <c r="B24" t="s">
        <v>232</v>
      </c>
      <c r="C24">
        <v>0</v>
      </c>
      <c r="D24" t="s">
        <v>266</v>
      </c>
      <c r="E24">
        <v>0</v>
      </c>
      <c r="F24">
        <v>0</v>
      </c>
      <c r="G24">
        <v>0</v>
      </c>
      <c r="H24" t="s">
        <v>360</v>
      </c>
      <c r="I24">
        <v>21.5</v>
      </c>
      <c r="J24">
        <v>0</v>
      </c>
      <c r="K24">
        <v>0</v>
      </c>
      <c r="L24">
        <v>0</v>
      </c>
    </row>
    <row r="25" spans="1:12" x14ac:dyDescent="0.25">
      <c r="A25" s="64">
        <v>45629</v>
      </c>
      <c r="B25" t="s">
        <v>232</v>
      </c>
      <c r="C25">
        <v>12</v>
      </c>
      <c r="D25" t="s">
        <v>218</v>
      </c>
      <c r="E25">
        <v>0.5</v>
      </c>
      <c r="F25">
        <v>10.9</v>
      </c>
      <c r="G25">
        <v>123.8</v>
      </c>
      <c r="H25" t="s">
        <v>371</v>
      </c>
      <c r="I25">
        <v>21.5</v>
      </c>
      <c r="J25">
        <v>10.4</v>
      </c>
      <c r="K25">
        <v>223.6</v>
      </c>
      <c r="L25">
        <v>0</v>
      </c>
    </row>
    <row r="26" spans="1:12" x14ac:dyDescent="0.25">
      <c r="A26" s="64">
        <v>45629</v>
      </c>
      <c r="B26" t="s">
        <v>232</v>
      </c>
      <c r="C26">
        <v>10</v>
      </c>
      <c r="D26" t="s">
        <v>206</v>
      </c>
      <c r="E26">
        <v>0.5</v>
      </c>
      <c r="F26">
        <v>9</v>
      </c>
      <c r="G26">
        <v>113.4</v>
      </c>
      <c r="H26" t="s">
        <v>208</v>
      </c>
      <c r="I26">
        <v>21.5</v>
      </c>
      <c r="J26">
        <v>8.5</v>
      </c>
      <c r="K26">
        <v>182.75</v>
      </c>
      <c r="L26">
        <v>0</v>
      </c>
    </row>
    <row r="27" spans="1:12" x14ac:dyDescent="0.25">
      <c r="A27" s="64">
        <v>45630</v>
      </c>
      <c r="C27">
        <v>0</v>
      </c>
      <c r="D27" t="s">
        <v>220</v>
      </c>
      <c r="E27">
        <v>0</v>
      </c>
      <c r="F27">
        <v>0</v>
      </c>
      <c r="G27">
        <v>0</v>
      </c>
      <c r="J27">
        <v>0</v>
      </c>
      <c r="L27">
        <v>0</v>
      </c>
    </row>
    <row r="28" spans="1:12" x14ac:dyDescent="0.25">
      <c r="A28" s="64">
        <v>45630</v>
      </c>
      <c r="C28">
        <v>0</v>
      </c>
      <c r="D28" t="s">
        <v>270</v>
      </c>
      <c r="E28">
        <v>0</v>
      </c>
      <c r="F28">
        <v>0</v>
      </c>
      <c r="G28">
        <v>0</v>
      </c>
      <c r="J28">
        <v>0</v>
      </c>
      <c r="L28">
        <v>0</v>
      </c>
    </row>
    <row r="29" spans="1:12" x14ac:dyDescent="0.25">
      <c r="A29" s="64">
        <v>45630</v>
      </c>
      <c r="C29">
        <v>0</v>
      </c>
      <c r="D29" t="s">
        <v>268</v>
      </c>
      <c r="E29">
        <v>0</v>
      </c>
      <c r="F29">
        <v>0</v>
      </c>
      <c r="G29">
        <v>0</v>
      </c>
      <c r="J29">
        <v>0</v>
      </c>
      <c r="L29">
        <v>0</v>
      </c>
    </row>
    <row r="30" spans="1:12" x14ac:dyDescent="0.25">
      <c r="A30" s="64">
        <v>45630</v>
      </c>
      <c r="B30" t="s">
        <v>232</v>
      </c>
      <c r="C30">
        <v>13</v>
      </c>
      <c r="D30" t="s">
        <v>225</v>
      </c>
      <c r="E30">
        <v>0.5</v>
      </c>
      <c r="F30">
        <v>10.77</v>
      </c>
      <c r="G30">
        <v>118.8</v>
      </c>
      <c r="H30" t="s">
        <v>227</v>
      </c>
      <c r="I30">
        <v>21.5</v>
      </c>
      <c r="J30">
        <v>10.27</v>
      </c>
      <c r="K30">
        <v>220.80500000000001</v>
      </c>
      <c r="L30">
        <v>0</v>
      </c>
    </row>
    <row r="31" spans="1:12" x14ac:dyDescent="0.25">
      <c r="A31" s="64">
        <v>45630</v>
      </c>
      <c r="B31" t="s">
        <v>232</v>
      </c>
      <c r="C31">
        <v>13</v>
      </c>
      <c r="D31" t="s">
        <v>212</v>
      </c>
      <c r="E31">
        <v>0.5</v>
      </c>
      <c r="F31">
        <v>10.42</v>
      </c>
      <c r="G31">
        <v>134.4</v>
      </c>
      <c r="H31" t="s">
        <v>214</v>
      </c>
      <c r="I31">
        <v>21.5</v>
      </c>
      <c r="J31">
        <v>9.92</v>
      </c>
      <c r="K31">
        <v>213.28</v>
      </c>
      <c r="L31">
        <v>0</v>
      </c>
    </row>
    <row r="32" spans="1:12" x14ac:dyDescent="0.25">
      <c r="A32" s="64">
        <v>45630</v>
      </c>
      <c r="B32" t="s">
        <v>232</v>
      </c>
      <c r="C32">
        <v>13</v>
      </c>
      <c r="D32" t="s">
        <v>269</v>
      </c>
      <c r="E32">
        <v>0.5</v>
      </c>
      <c r="F32">
        <v>10.52</v>
      </c>
      <c r="G32">
        <v>118.7</v>
      </c>
      <c r="H32" t="s">
        <v>372</v>
      </c>
      <c r="I32">
        <v>21.5</v>
      </c>
      <c r="J32">
        <v>10.02</v>
      </c>
      <c r="K32">
        <v>215.43</v>
      </c>
      <c r="L32">
        <v>0</v>
      </c>
    </row>
    <row r="33" spans="1:12" x14ac:dyDescent="0.25">
      <c r="A33" s="64">
        <v>45630</v>
      </c>
      <c r="B33" t="s">
        <v>232</v>
      </c>
      <c r="C33">
        <v>14</v>
      </c>
      <c r="D33" t="s">
        <v>204</v>
      </c>
      <c r="E33">
        <v>0.5</v>
      </c>
      <c r="F33">
        <v>10.48</v>
      </c>
      <c r="G33">
        <v>100.9</v>
      </c>
      <c r="H33" t="s">
        <v>112</v>
      </c>
      <c r="I33">
        <v>21.5</v>
      </c>
      <c r="J33">
        <v>9.98</v>
      </c>
      <c r="K33">
        <v>214.57</v>
      </c>
      <c r="L33">
        <v>0</v>
      </c>
    </row>
    <row r="34" spans="1:12" x14ac:dyDescent="0.25">
      <c r="A34" s="64">
        <v>45630</v>
      </c>
      <c r="B34" t="s">
        <v>232</v>
      </c>
      <c r="C34">
        <v>12</v>
      </c>
      <c r="D34" t="s">
        <v>215</v>
      </c>
      <c r="E34">
        <v>0.5</v>
      </c>
      <c r="F34">
        <v>9.9499999999999993</v>
      </c>
      <c r="G34">
        <v>102</v>
      </c>
      <c r="H34" t="s">
        <v>217</v>
      </c>
      <c r="I34">
        <v>21.5</v>
      </c>
      <c r="J34">
        <v>9.4499999999999993</v>
      </c>
      <c r="K34">
        <v>203.17500000000001</v>
      </c>
      <c r="L34">
        <v>0</v>
      </c>
    </row>
    <row r="35" spans="1:12" x14ac:dyDescent="0.25">
      <c r="A35" s="64">
        <v>45630</v>
      </c>
      <c r="B35" t="s">
        <v>232</v>
      </c>
      <c r="C35">
        <v>12</v>
      </c>
      <c r="D35" t="s">
        <v>222</v>
      </c>
      <c r="E35">
        <v>0.5</v>
      </c>
      <c r="F35">
        <v>10.83</v>
      </c>
      <c r="G35">
        <v>112.7</v>
      </c>
      <c r="H35" t="s">
        <v>224</v>
      </c>
      <c r="I35">
        <v>21.5</v>
      </c>
      <c r="J35">
        <v>10.33</v>
      </c>
      <c r="K35">
        <v>222.095</v>
      </c>
      <c r="L35">
        <v>0</v>
      </c>
    </row>
    <row r="36" spans="1:12" x14ac:dyDescent="0.25">
      <c r="A36" s="64">
        <v>45630</v>
      </c>
      <c r="B36" t="s">
        <v>232</v>
      </c>
      <c r="C36">
        <v>11</v>
      </c>
      <c r="D36" t="s">
        <v>209</v>
      </c>
      <c r="E36">
        <v>0.5</v>
      </c>
      <c r="F36">
        <v>10.35</v>
      </c>
      <c r="G36">
        <v>116.9</v>
      </c>
      <c r="H36" t="s">
        <v>211</v>
      </c>
      <c r="I36">
        <v>21.5</v>
      </c>
      <c r="J36">
        <v>9.85</v>
      </c>
      <c r="K36">
        <v>211.77500000000001</v>
      </c>
      <c r="L36">
        <v>0</v>
      </c>
    </row>
    <row r="37" spans="1:12" x14ac:dyDescent="0.25">
      <c r="A37" s="64">
        <v>45630</v>
      </c>
      <c r="B37" t="s">
        <v>232</v>
      </c>
      <c r="C37">
        <v>0</v>
      </c>
      <c r="D37" t="s">
        <v>266</v>
      </c>
      <c r="E37">
        <v>0</v>
      </c>
      <c r="F37">
        <v>0</v>
      </c>
      <c r="G37">
        <v>0</v>
      </c>
      <c r="H37" t="s">
        <v>360</v>
      </c>
      <c r="I37">
        <v>21.5</v>
      </c>
      <c r="J37">
        <v>0</v>
      </c>
      <c r="K37">
        <v>0</v>
      </c>
      <c r="L37">
        <v>0</v>
      </c>
    </row>
    <row r="38" spans="1:12" x14ac:dyDescent="0.25">
      <c r="A38" s="64">
        <v>45630</v>
      </c>
      <c r="B38" t="s">
        <v>232</v>
      </c>
      <c r="C38">
        <v>11</v>
      </c>
      <c r="D38" t="s">
        <v>218</v>
      </c>
      <c r="E38">
        <v>0.5</v>
      </c>
      <c r="F38">
        <v>10.029999999999999</v>
      </c>
      <c r="G38">
        <v>121.7</v>
      </c>
      <c r="H38" t="s">
        <v>371</v>
      </c>
      <c r="I38">
        <v>21.5</v>
      </c>
      <c r="J38">
        <v>9.5299999999999994</v>
      </c>
      <c r="K38">
        <v>204.89500000000001</v>
      </c>
      <c r="L38">
        <v>0</v>
      </c>
    </row>
    <row r="39" spans="1:12" x14ac:dyDescent="0.25">
      <c r="A39" s="64">
        <v>45630</v>
      </c>
      <c r="B39" t="s">
        <v>232</v>
      </c>
      <c r="C39">
        <v>11</v>
      </c>
      <c r="D39" t="s">
        <v>206</v>
      </c>
      <c r="E39">
        <v>0.5</v>
      </c>
      <c r="F39">
        <v>11.77</v>
      </c>
      <c r="G39">
        <v>98.2</v>
      </c>
      <c r="H39" t="s">
        <v>208</v>
      </c>
      <c r="I39">
        <v>21.5</v>
      </c>
      <c r="J39">
        <v>11.27</v>
      </c>
      <c r="K39">
        <v>242.30500000000001</v>
      </c>
      <c r="L39">
        <v>0</v>
      </c>
    </row>
    <row r="40" spans="1:12" x14ac:dyDescent="0.25">
      <c r="A40" s="64">
        <v>45631</v>
      </c>
      <c r="C40">
        <v>0</v>
      </c>
      <c r="D40" t="s">
        <v>268</v>
      </c>
      <c r="E40">
        <v>0</v>
      </c>
      <c r="F40">
        <v>0</v>
      </c>
      <c r="G40">
        <v>0</v>
      </c>
      <c r="J40">
        <v>0</v>
      </c>
      <c r="L40">
        <v>0</v>
      </c>
    </row>
    <row r="41" spans="1:12" x14ac:dyDescent="0.25">
      <c r="A41" s="64">
        <v>45631</v>
      </c>
      <c r="C41">
        <v>0</v>
      </c>
      <c r="D41" t="s">
        <v>270</v>
      </c>
      <c r="E41">
        <v>0</v>
      </c>
      <c r="F41">
        <v>0</v>
      </c>
      <c r="G41">
        <v>0</v>
      </c>
      <c r="J41">
        <v>0</v>
      </c>
      <c r="L41">
        <v>0</v>
      </c>
    </row>
    <row r="42" spans="1:12" x14ac:dyDescent="0.25">
      <c r="A42" s="64">
        <v>45631</v>
      </c>
      <c r="C42">
        <v>0</v>
      </c>
      <c r="D42" t="s">
        <v>220</v>
      </c>
      <c r="E42">
        <v>0</v>
      </c>
      <c r="F42">
        <v>0</v>
      </c>
      <c r="G42">
        <v>0</v>
      </c>
      <c r="J42">
        <v>0</v>
      </c>
      <c r="L42">
        <v>0</v>
      </c>
    </row>
    <row r="43" spans="1:12" x14ac:dyDescent="0.25">
      <c r="A43" s="64">
        <v>45631</v>
      </c>
      <c r="B43" t="s">
        <v>232</v>
      </c>
      <c r="C43">
        <v>12</v>
      </c>
      <c r="D43" t="s">
        <v>225</v>
      </c>
      <c r="E43">
        <v>0.5</v>
      </c>
      <c r="F43">
        <v>10.17</v>
      </c>
      <c r="G43">
        <v>126.9</v>
      </c>
      <c r="H43" t="s">
        <v>227</v>
      </c>
      <c r="I43">
        <v>21.5</v>
      </c>
      <c r="J43">
        <v>9.67</v>
      </c>
      <c r="K43">
        <v>207.905</v>
      </c>
      <c r="L43">
        <v>0</v>
      </c>
    </row>
    <row r="44" spans="1:12" x14ac:dyDescent="0.25">
      <c r="A44" s="64">
        <v>45631</v>
      </c>
      <c r="B44" t="s">
        <v>232</v>
      </c>
      <c r="C44">
        <v>13</v>
      </c>
      <c r="D44" t="s">
        <v>212</v>
      </c>
      <c r="E44">
        <v>0.5</v>
      </c>
      <c r="F44">
        <v>10.62</v>
      </c>
      <c r="G44">
        <v>166.7</v>
      </c>
      <c r="H44" t="s">
        <v>214</v>
      </c>
      <c r="I44">
        <v>21.5</v>
      </c>
      <c r="J44">
        <v>10.119999999999999</v>
      </c>
      <c r="K44">
        <v>217.58</v>
      </c>
      <c r="L44">
        <v>0</v>
      </c>
    </row>
    <row r="45" spans="1:12" x14ac:dyDescent="0.25">
      <c r="A45" s="64">
        <v>45631</v>
      </c>
      <c r="B45" t="s">
        <v>232</v>
      </c>
      <c r="C45">
        <v>11</v>
      </c>
      <c r="D45" t="s">
        <v>269</v>
      </c>
      <c r="E45">
        <v>0.5</v>
      </c>
      <c r="F45">
        <v>10.25</v>
      </c>
      <c r="G45">
        <v>129.6</v>
      </c>
      <c r="H45" t="s">
        <v>372</v>
      </c>
      <c r="I45">
        <v>21.5</v>
      </c>
      <c r="J45">
        <v>9.75</v>
      </c>
      <c r="K45">
        <v>209.625</v>
      </c>
      <c r="L45">
        <v>0</v>
      </c>
    </row>
    <row r="46" spans="1:12" x14ac:dyDescent="0.25">
      <c r="A46" s="64">
        <v>45631</v>
      </c>
      <c r="B46" t="s">
        <v>232</v>
      </c>
      <c r="C46">
        <v>15</v>
      </c>
      <c r="D46" t="s">
        <v>204</v>
      </c>
      <c r="E46">
        <v>0.5</v>
      </c>
      <c r="F46">
        <v>10.75</v>
      </c>
      <c r="G46">
        <v>122.1</v>
      </c>
      <c r="H46" t="s">
        <v>112</v>
      </c>
      <c r="I46">
        <v>21.5</v>
      </c>
      <c r="J46">
        <v>10.25</v>
      </c>
      <c r="K46">
        <v>220.375</v>
      </c>
      <c r="L46">
        <v>0</v>
      </c>
    </row>
    <row r="47" spans="1:12" x14ac:dyDescent="0.25">
      <c r="A47" s="64">
        <v>45631</v>
      </c>
      <c r="B47" t="s">
        <v>232</v>
      </c>
      <c r="C47">
        <v>10</v>
      </c>
      <c r="D47" t="s">
        <v>215</v>
      </c>
      <c r="E47">
        <v>0.5</v>
      </c>
      <c r="F47">
        <v>9.98</v>
      </c>
      <c r="G47">
        <v>128</v>
      </c>
      <c r="H47" t="s">
        <v>217</v>
      </c>
      <c r="I47">
        <v>21.5</v>
      </c>
      <c r="J47">
        <v>9.48</v>
      </c>
      <c r="K47">
        <v>203.82</v>
      </c>
      <c r="L47">
        <v>0</v>
      </c>
    </row>
    <row r="48" spans="1:12" x14ac:dyDescent="0.25">
      <c r="A48" s="64">
        <v>45631</v>
      </c>
      <c r="B48" t="s">
        <v>232</v>
      </c>
      <c r="C48">
        <v>15</v>
      </c>
      <c r="D48" t="s">
        <v>222</v>
      </c>
      <c r="E48">
        <v>0.38</v>
      </c>
      <c r="F48">
        <v>10.1</v>
      </c>
      <c r="G48">
        <v>131.80000000000001</v>
      </c>
      <c r="H48" t="s">
        <v>224</v>
      </c>
      <c r="I48">
        <v>21.5</v>
      </c>
      <c r="J48">
        <v>9.7199999999999989</v>
      </c>
      <c r="K48">
        <v>208.98</v>
      </c>
      <c r="L48">
        <v>0</v>
      </c>
    </row>
    <row r="49" spans="1:12" x14ac:dyDescent="0.25">
      <c r="A49" s="64">
        <v>45631</v>
      </c>
      <c r="B49" t="s">
        <v>232</v>
      </c>
      <c r="C49">
        <v>2</v>
      </c>
      <c r="D49" t="s">
        <v>209</v>
      </c>
      <c r="E49">
        <v>0</v>
      </c>
      <c r="F49">
        <v>2.4300000000000002</v>
      </c>
      <c r="G49">
        <v>15.8</v>
      </c>
      <c r="H49" t="s">
        <v>211</v>
      </c>
      <c r="I49">
        <v>21.5</v>
      </c>
      <c r="J49">
        <v>2.4300000000000002</v>
      </c>
      <c r="K49">
        <v>52.244999999999997</v>
      </c>
      <c r="L49">
        <v>0</v>
      </c>
    </row>
    <row r="50" spans="1:12" x14ac:dyDescent="0.25">
      <c r="A50" s="64">
        <v>45631</v>
      </c>
      <c r="B50" t="s">
        <v>232</v>
      </c>
      <c r="C50">
        <v>8</v>
      </c>
      <c r="D50" t="s">
        <v>266</v>
      </c>
      <c r="E50">
        <v>0.5</v>
      </c>
      <c r="F50">
        <v>10.220000000000001</v>
      </c>
      <c r="G50">
        <v>104.8</v>
      </c>
      <c r="H50" t="s">
        <v>360</v>
      </c>
      <c r="I50">
        <v>21.5</v>
      </c>
      <c r="J50">
        <v>9.7200000000000006</v>
      </c>
      <c r="K50">
        <v>208.98</v>
      </c>
      <c r="L50">
        <v>0</v>
      </c>
    </row>
    <row r="51" spans="1:12" x14ac:dyDescent="0.25">
      <c r="A51" s="64">
        <v>45631</v>
      </c>
      <c r="B51" t="s">
        <v>232</v>
      </c>
      <c r="C51">
        <v>16</v>
      </c>
      <c r="D51" t="s">
        <v>218</v>
      </c>
      <c r="E51">
        <v>0.5</v>
      </c>
      <c r="F51">
        <v>10.95</v>
      </c>
      <c r="G51">
        <v>130.4</v>
      </c>
      <c r="H51" t="s">
        <v>371</v>
      </c>
      <c r="I51">
        <v>21.5</v>
      </c>
      <c r="J51">
        <v>10.45</v>
      </c>
      <c r="K51">
        <v>224.67500000000001</v>
      </c>
      <c r="L51">
        <v>0</v>
      </c>
    </row>
    <row r="52" spans="1:12" x14ac:dyDescent="0.25">
      <c r="A52" s="64">
        <v>45631</v>
      </c>
      <c r="B52" t="s">
        <v>232</v>
      </c>
      <c r="C52">
        <v>17</v>
      </c>
      <c r="D52" t="s">
        <v>206</v>
      </c>
      <c r="E52">
        <v>0.5</v>
      </c>
      <c r="F52">
        <v>11.28</v>
      </c>
      <c r="G52">
        <v>166.2</v>
      </c>
      <c r="H52" t="s">
        <v>208</v>
      </c>
      <c r="I52">
        <v>21.5</v>
      </c>
      <c r="J52">
        <v>10.78</v>
      </c>
      <c r="K52">
        <v>231.77</v>
      </c>
      <c r="L52">
        <v>0</v>
      </c>
    </row>
    <row r="53" spans="1:12" x14ac:dyDescent="0.25">
      <c r="A53" s="64">
        <v>45632</v>
      </c>
      <c r="C53">
        <v>0</v>
      </c>
      <c r="D53" t="s">
        <v>270</v>
      </c>
      <c r="E53">
        <v>0</v>
      </c>
      <c r="F53">
        <v>0</v>
      </c>
      <c r="G53">
        <v>0</v>
      </c>
      <c r="J53">
        <v>0</v>
      </c>
      <c r="L53">
        <v>0</v>
      </c>
    </row>
    <row r="54" spans="1:12" x14ac:dyDescent="0.25">
      <c r="A54" s="64">
        <v>45632</v>
      </c>
      <c r="C54">
        <v>0</v>
      </c>
      <c r="D54" t="s">
        <v>268</v>
      </c>
      <c r="E54">
        <v>0</v>
      </c>
      <c r="F54">
        <v>0</v>
      </c>
      <c r="G54">
        <v>0</v>
      </c>
      <c r="J54">
        <v>0</v>
      </c>
      <c r="L54">
        <v>0</v>
      </c>
    </row>
    <row r="55" spans="1:12" x14ac:dyDescent="0.25">
      <c r="A55" s="64">
        <v>45632</v>
      </c>
      <c r="C55">
        <v>0</v>
      </c>
      <c r="D55" t="s">
        <v>220</v>
      </c>
      <c r="E55">
        <v>0</v>
      </c>
      <c r="F55">
        <v>0</v>
      </c>
      <c r="G55">
        <v>0</v>
      </c>
      <c r="J55">
        <v>0</v>
      </c>
      <c r="L55">
        <v>0</v>
      </c>
    </row>
    <row r="56" spans="1:12" x14ac:dyDescent="0.25">
      <c r="A56" s="64">
        <v>45632</v>
      </c>
      <c r="B56" t="s">
        <v>232</v>
      </c>
      <c r="C56">
        <v>10</v>
      </c>
      <c r="D56" t="s">
        <v>225</v>
      </c>
      <c r="E56">
        <v>0.5</v>
      </c>
      <c r="F56">
        <v>8.58</v>
      </c>
      <c r="G56">
        <v>113.9</v>
      </c>
      <c r="H56" t="s">
        <v>227</v>
      </c>
      <c r="I56">
        <v>21.5</v>
      </c>
      <c r="J56">
        <v>8.08</v>
      </c>
      <c r="K56">
        <v>173.72</v>
      </c>
      <c r="L56">
        <v>0</v>
      </c>
    </row>
    <row r="57" spans="1:12" x14ac:dyDescent="0.25">
      <c r="A57" s="64">
        <v>45632</v>
      </c>
      <c r="B57" t="s">
        <v>232</v>
      </c>
      <c r="C57">
        <v>13</v>
      </c>
      <c r="D57" t="s">
        <v>212</v>
      </c>
      <c r="E57">
        <v>0.5</v>
      </c>
      <c r="F57">
        <v>11.37</v>
      </c>
      <c r="G57">
        <v>117</v>
      </c>
      <c r="H57" t="s">
        <v>214</v>
      </c>
      <c r="I57">
        <v>21.5</v>
      </c>
      <c r="J57">
        <v>10.87</v>
      </c>
      <c r="K57">
        <v>233.70500000000001</v>
      </c>
      <c r="L57">
        <v>0</v>
      </c>
    </row>
    <row r="58" spans="1:12" x14ac:dyDescent="0.25">
      <c r="A58" s="64">
        <v>45632</v>
      </c>
      <c r="B58" t="s">
        <v>232</v>
      </c>
      <c r="C58">
        <v>13</v>
      </c>
      <c r="D58" t="s">
        <v>269</v>
      </c>
      <c r="E58">
        <v>0.5</v>
      </c>
      <c r="F58">
        <v>11</v>
      </c>
      <c r="G58">
        <v>134</v>
      </c>
      <c r="H58" t="s">
        <v>372</v>
      </c>
      <c r="I58">
        <v>21.5</v>
      </c>
      <c r="J58">
        <v>10.5</v>
      </c>
      <c r="K58">
        <v>225.75</v>
      </c>
      <c r="L58">
        <v>0</v>
      </c>
    </row>
    <row r="59" spans="1:12" x14ac:dyDescent="0.25">
      <c r="A59" s="64">
        <v>45632</v>
      </c>
      <c r="B59" t="s">
        <v>232</v>
      </c>
      <c r="C59">
        <v>12</v>
      </c>
      <c r="D59" t="s">
        <v>204</v>
      </c>
      <c r="E59">
        <v>0.5</v>
      </c>
      <c r="F59">
        <v>10.17</v>
      </c>
      <c r="G59">
        <v>106.2</v>
      </c>
      <c r="H59" t="s">
        <v>112</v>
      </c>
      <c r="I59">
        <v>21.5</v>
      </c>
      <c r="J59">
        <v>9.67</v>
      </c>
      <c r="K59">
        <v>207.905</v>
      </c>
      <c r="L59">
        <v>0</v>
      </c>
    </row>
    <row r="60" spans="1:12" x14ac:dyDescent="0.25">
      <c r="A60" s="64">
        <v>45632</v>
      </c>
      <c r="B60" t="s">
        <v>232</v>
      </c>
      <c r="C60">
        <v>16</v>
      </c>
      <c r="D60" t="s">
        <v>215</v>
      </c>
      <c r="E60">
        <v>0.5</v>
      </c>
      <c r="F60">
        <v>10.52</v>
      </c>
      <c r="G60">
        <v>113</v>
      </c>
      <c r="H60" t="s">
        <v>217</v>
      </c>
      <c r="I60">
        <v>21.5</v>
      </c>
      <c r="J60">
        <v>10.02</v>
      </c>
      <c r="K60">
        <v>215.43</v>
      </c>
      <c r="L60">
        <v>0</v>
      </c>
    </row>
    <row r="61" spans="1:12" x14ac:dyDescent="0.25">
      <c r="A61" s="64">
        <v>45632</v>
      </c>
      <c r="B61" t="s">
        <v>232</v>
      </c>
      <c r="C61">
        <v>13</v>
      </c>
      <c r="D61" t="s">
        <v>222</v>
      </c>
      <c r="E61">
        <v>0.5</v>
      </c>
      <c r="F61">
        <v>10.1</v>
      </c>
      <c r="G61">
        <v>149.30000000000001</v>
      </c>
      <c r="H61" t="s">
        <v>224</v>
      </c>
      <c r="I61">
        <v>21.5</v>
      </c>
      <c r="J61">
        <v>9.6</v>
      </c>
      <c r="K61">
        <v>206.4</v>
      </c>
      <c r="L61">
        <v>0</v>
      </c>
    </row>
    <row r="62" spans="1:12" x14ac:dyDescent="0.25">
      <c r="A62" s="64">
        <v>45632</v>
      </c>
      <c r="B62" t="s">
        <v>232</v>
      </c>
      <c r="C62">
        <v>0</v>
      </c>
      <c r="D62" t="s">
        <v>209</v>
      </c>
      <c r="E62">
        <v>0</v>
      </c>
      <c r="F62">
        <v>0</v>
      </c>
      <c r="G62">
        <v>0</v>
      </c>
      <c r="H62" t="s">
        <v>211</v>
      </c>
      <c r="I62">
        <v>21.5</v>
      </c>
      <c r="J62">
        <v>0</v>
      </c>
      <c r="K62">
        <v>0</v>
      </c>
      <c r="L62">
        <v>0</v>
      </c>
    </row>
    <row r="63" spans="1:12" x14ac:dyDescent="0.25">
      <c r="A63" s="64">
        <v>45632</v>
      </c>
      <c r="B63" t="s">
        <v>232</v>
      </c>
      <c r="C63">
        <v>7</v>
      </c>
      <c r="D63" t="s">
        <v>266</v>
      </c>
      <c r="E63">
        <v>0.5</v>
      </c>
      <c r="F63">
        <v>11.37</v>
      </c>
      <c r="G63">
        <v>71.400000000000006</v>
      </c>
      <c r="H63" t="s">
        <v>360</v>
      </c>
      <c r="I63">
        <v>21.5</v>
      </c>
      <c r="J63">
        <v>10.87</v>
      </c>
      <c r="K63">
        <v>233.70500000000001</v>
      </c>
      <c r="L63">
        <v>0</v>
      </c>
    </row>
    <row r="64" spans="1:12" x14ac:dyDescent="0.25">
      <c r="A64" s="64">
        <v>45632</v>
      </c>
      <c r="B64" t="s">
        <v>232</v>
      </c>
      <c r="C64">
        <v>10</v>
      </c>
      <c r="D64" t="s">
        <v>218</v>
      </c>
      <c r="E64">
        <v>0.5</v>
      </c>
      <c r="F64">
        <v>10.62</v>
      </c>
      <c r="G64">
        <v>128.6</v>
      </c>
      <c r="H64" t="s">
        <v>371</v>
      </c>
      <c r="I64">
        <v>21.5</v>
      </c>
      <c r="J64">
        <v>10.119999999999999</v>
      </c>
      <c r="K64">
        <v>217.58</v>
      </c>
      <c r="L64">
        <v>0</v>
      </c>
    </row>
    <row r="65" spans="1:12" x14ac:dyDescent="0.25">
      <c r="A65" s="64">
        <v>45632</v>
      </c>
      <c r="B65" t="s">
        <v>232</v>
      </c>
      <c r="C65">
        <v>11</v>
      </c>
      <c r="D65" t="s">
        <v>206</v>
      </c>
      <c r="E65">
        <v>0.5</v>
      </c>
      <c r="F65">
        <v>10.82</v>
      </c>
      <c r="G65">
        <v>131.19999999999999</v>
      </c>
      <c r="H65" t="s">
        <v>208</v>
      </c>
      <c r="I65">
        <v>21.5</v>
      </c>
      <c r="J65">
        <v>10.32</v>
      </c>
      <c r="K65">
        <v>221.88</v>
      </c>
      <c r="L65">
        <v>0</v>
      </c>
    </row>
    <row r="66" spans="1:12" x14ac:dyDescent="0.25">
      <c r="A66" s="64">
        <v>45633</v>
      </c>
      <c r="C66">
        <v>0</v>
      </c>
      <c r="D66" t="s">
        <v>270</v>
      </c>
      <c r="E66">
        <v>0</v>
      </c>
      <c r="F66">
        <v>0</v>
      </c>
      <c r="G66">
        <v>0</v>
      </c>
      <c r="J66">
        <v>0</v>
      </c>
      <c r="L66">
        <v>0</v>
      </c>
    </row>
    <row r="67" spans="1:12" x14ac:dyDescent="0.25">
      <c r="A67" s="64">
        <v>45634</v>
      </c>
      <c r="B67" t="s">
        <v>232</v>
      </c>
      <c r="C67">
        <v>5</v>
      </c>
      <c r="D67" t="s">
        <v>212</v>
      </c>
      <c r="E67">
        <v>0</v>
      </c>
      <c r="F67">
        <v>4.9000000000000004</v>
      </c>
      <c r="G67">
        <v>83.2</v>
      </c>
      <c r="H67" t="s">
        <v>214</v>
      </c>
      <c r="I67">
        <v>21.5</v>
      </c>
      <c r="J67">
        <v>4.9000000000000004</v>
      </c>
      <c r="K67">
        <v>105.35</v>
      </c>
      <c r="L67">
        <v>0</v>
      </c>
    </row>
    <row r="68" spans="1:12" x14ac:dyDescent="0.25">
      <c r="A68" s="64">
        <v>45634</v>
      </c>
      <c r="B68" t="s">
        <v>232</v>
      </c>
      <c r="C68">
        <v>10</v>
      </c>
      <c r="D68" t="s">
        <v>206</v>
      </c>
      <c r="E68">
        <v>0.35</v>
      </c>
      <c r="F68">
        <v>10.8</v>
      </c>
      <c r="G68">
        <v>118</v>
      </c>
      <c r="H68" t="s">
        <v>208</v>
      </c>
      <c r="I68">
        <v>21.5</v>
      </c>
      <c r="J68">
        <v>10.450000000000001</v>
      </c>
      <c r="K68">
        <v>224.67500000000001</v>
      </c>
      <c r="L68">
        <v>0</v>
      </c>
    </row>
    <row r="69" spans="1:12" x14ac:dyDescent="0.25">
      <c r="A69" s="64">
        <v>45635</v>
      </c>
      <c r="C69">
        <v>0</v>
      </c>
      <c r="D69" t="s">
        <v>220</v>
      </c>
      <c r="E69">
        <v>0</v>
      </c>
      <c r="F69">
        <v>0</v>
      </c>
      <c r="G69">
        <v>0</v>
      </c>
      <c r="J69">
        <v>0</v>
      </c>
      <c r="L69">
        <v>0</v>
      </c>
    </row>
    <row r="70" spans="1:12" x14ac:dyDescent="0.25">
      <c r="A70" s="64">
        <v>45635</v>
      </c>
      <c r="C70">
        <v>0</v>
      </c>
      <c r="D70" t="s">
        <v>268</v>
      </c>
      <c r="E70">
        <v>0</v>
      </c>
      <c r="F70">
        <v>0</v>
      </c>
      <c r="G70">
        <v>0</v>
      </c>
      <c r="J70">
        <v>0</v>
      </c>
      <c r="L70">
        <v>0</v>
      </c>
    </row>
    <row r="71" spans="1:12" x14ac:dyDescent="0.25">
      <c r="A71" s="64">
        <v>45635</v>
      </c>
      <c r="B71" t="s">
        <v>232</v>
      </c>
      <c r="C71">
        <v>17</v>
      </c>
      <c r="D71" t="s">
        <v>225</v>
      </c>
      <c r="E71">
        <v>0.5</v>
      </c>
      <c r="F71">
        <v>10.45</v>
      </c>
      <c r="G71">
        <v>131.19999999999999</v>
      </c>
      <c r="H71" t="s">
        <v>227</v>
      </c>
      <c r="I71">
        <v>21.5</v>
      </c>
      <c r="J71">
        <v>9.9499999999999993</v>
      </c>
      <c r="K71">
        <v>213.92500000000001</v>
      </c>
      <c r="L71">
        <v>0</v>
      </c>
    </row>
    <row r="72" spans="1:12" x14ac:dyDescent="0.25">
      <c r="A72" s="64">
        <v>45635</v>
      </c>
      <c r="B72" t="s">
        <v>232</v>
      </c>
      <c r="C72">
        <v>17</v>
      </c>
      <c r="D72" t="s">
        <v>212</v>
      </c>
      <c r="E72">
        <v>0.5</v>
      </c>
      <c r="F72">
        <v>10.87</v>
      </c>
      <c r="G72">
        <v>162.5</v>
      </c>
      <c r="H72" t="s">
        <v>214</v>
      </c>
      <c r="I72">
        <v>21.5</v>
      </c>
      <c r="J72">
        <v>10.37</v>
      </c>
      <c r="K72">
        <v>222.95500000000001</v>
      </c>
      <c r="L72">
        <v>0</v>
      </c>
    </row>
    <row r="73" spans="1:12" x14ac:dyDescent="0.25">
      <c r="A73" s="64">
        <v>45635</v>
      </c>
      <c r="B73" t="s">
        <v>232</v>
      </c>
      <c r="C73">
        <v>14</v>
      </c>
      <c r="D73" t="s">
        <v>269</v>
      </c>
      <c r="E73">
        <v>0.5</v>
      </c>
      <c r="F73">
        <v>10.5</v>
      </c>
      <c r="G73">
        <v>96.7</v>
      </c>
      <c r="H73" t="s">
        <v>372</v>
      </c>
      <c r="I73">
        <v>21.5</v>
      </c>
      <c r="J73">
        <v>10</v>
      </c>
      <c r="K73">
        <v>215</v>
      </c>
      <c r="L73">
        <v>0</v>
      </c>
    </row>
    <row r="74" spans="1:12" x14ac:dyDescent="0.25">
      <c r="A74" s="64">
        <v>45635</v>
      </c>
      <c r="B74" t="s">
        <v>232</v>
      </c>
      <c r="C74">
        <v>12</v>
      </c>
      <c r="D74" t="s">
        <v>204</v>
      </c>
      <c r="E74">
        <v>0.5</v>
      </c>
      <c r="F74">
        <v>9.9499999999999993</v>
      </c>
      <c r="G74">
        <v>103</v>
      </c>
      <c r="H74" t="s">
        <v>112</v>
      </c>
      <c r="I74">
        <v>21.5</v>
      </c>
      <c r="J74">
        <v>9.4499999999999993</v>
      </c>
      <c r="K74">
        <v>203.17500000000001</v>
      </c>
      <c r="L74">
        <v>0</v>
      </c>
    </row>
    <row r="75" spans="1:12" x14ac:dyDescent="0.25">
      <c r="A75" s="64">
        <v>45635</v>
      </c>
      <c r="B75" t="s">
        <v>232</v>
      </c>
      <c r="C75">
        <v>13</v>
      </c>
      <c r="D75" t="s">
        <v>215</v>
      </c>
      <c r="E75">
        <v>0.5</v>
      </c>
      <c r="F75">
        <v>10.45</v>
      </c>
      <c r="G75">
        <v>109.4</v>
      </c>
      <c r="H75" t="s">
        <v>217</v>
      </c>
      <c r="I75">
        <v>21.5</v>
      </c>
      <c r="J75">
        <v>9.9499999999999993</v>
      </c>
      <c r="K75">
        <v>213.92500000000001</v>
      </c>
      <c r="L75">
        <v>0</v>
      </c>
    </row>
    <row r="76" spans="1:12" x14ac:dyDescent="0.25">
      <c r="A76" s="64">
        <v>45635</v>
      </c>
      <c r="B76" t="s">
        <v>232</v>
      </c>
      <c r="C76">
        <v>15</v>
      </c>
      <c r="D76" t="s">
        <v>222</v>
      </c>
      <c r="E76">
        <v>0.5</v>
      </c>
      <c r="F76">
        <v>10.37</v>
      </c>
      <c r="G76">
        <v>115</v>
      </c>
      <c r="H76" t="s">
        <v>224</v>
      </c>
      <c r="I76">
        <v>21.5</v>
      </c>
      <c r="J76">
        <v>9.8699999999999992</v>
      </c>
      <c r="K76">
        <v>212.20500000000001</v>
      </c>
      <c r="L76">
        <v>0</v>
      </c>
    </row>
    <row r="77" spans="1:12" x14ac:dyDescent="0.25">
      <c r="A77" s="64">
        <v>45635</v>
      </c>
      <c r="B77" t="s">
        <v>232</v>
      </c>
      <c r="C77">
        <v>15</v>
      </c>
      <c r="D77" t="s">
        <v>209</v>
      </c>
      <c r="E77">
        <v>0.5</v>
      </c>
      <c r="F77">
        <v>10.72</v>
      </c>
      <c r="G77">
        <v>110</v>
      </c>
      <c r="H77" t="s">
        <v>211</v>
      </c>
      <c r="I77">
        <v>21.5</v>
      </c>
      <c r="J77">
        <v>10.220000000000001</v>
      </c>
      <c r="K77">
        <v>219.73</v>
      </c>
      <c r="L77">
        <v>0</v>
      </c>
    </row>
    <row r="78" spans="1:12" x14ac:dyDescent="0.25">
      <c r="A78" s="64">
        <v>45635</v>
      </c>
      <c r="B78" t="s">
        <v>232</v>
      </c>
      <c r="C78">
        <v>13</v>
      </c>
      <c r="D78" t="s">
        <v>266</v>
      </c>
      <c r="E78">
        <v>0.18</v>
      </c>
      <c r="F78">
        <v>11.03</v>
      </c>
      <c r="G78">
        <v>108.3</v>
      </c>
      <c r="H78" t="s">
        <v>360</v>
      </c>
      <c r="I78">
        <v>21.5</v>
      </c>
      <c r="J78">
        <v>10.85</v>
      </c>
      <c r="K78">
        <v>233.27500000000001</v>
      </c>
      <c r="L78">
        <v>0</v>
      </c>
    </row>
    <row r="79" spans="1:12" x14ac:dyDescent="0.25">
      <c r="A79" s="64">
        <v>45635</v>
      </c>
      <c r="B79" t="s">
        <v>232</v>
      </c>
      <c r="C79">
        <v>16</v>
      </c>
      <c r="D79" t="s">
        <v>218</v>
      </c>
      <c r="E79">
        <v>0.5</v>
      </c>
      <c r="F79">
        <v>10.7</v>
      </c>
      <c r="G79">
        <v>128.1</v>
      </c>
      <c r="H79" t="s">
        <v>371</v>
      </c>
      <c r="I79">
        <v>21.5</v>
      </c>
      <c r="J79">
        <v>10.199999999999999</v>
      </c>
      <c r="K79">
        <v>219.3</v>
      </c>
      <c r="L79">
        <v>0</v>
      </c>
    </row>
    <row r="80" spans="1:12" x14ac:dyDescent="0.25">
      <c r="A80" s="64">
        <v>45635</v>
      </c>
      <c r="B80" t="s">
        <v>232</v>
      </c>
      <c r="C80">
        <v>17</v>
      </c>
      <c r="D80" t="s">
        <v>206</v>
      </c>
      <c r="E80">
        <v>0.5</v>
      </c>
      <c r="F80">
        <v>10.87</v>
      </c>
      <c r="G80">
        <v>131.30000000000001</v>
      </c>
      <c r="H80" t="s">
        <v>208</v>
      </c>
      <c r="I80">
        <v>21.5</v>
      </c>
      <c r="J80">
        <v>10.37</v>
      </c>
      <c r="K80">
        <v>222.95500000000001</v>
      </c>
      <c r="L80">
        <v>0</v>
      </c>
    </row>
    <row r="81" spans="1:12" x14ac:dyDescent="0.25">
      <c r="A81" s="64">
        <v>45636</v>
      </c>
      <c r="C81">
        <v>0</v>
      </c>
      <c r="D81" t="s">
        <v>270</v>
      </c>
      <c r="E81">
        <v>0</v>
      </c>
      <c r="F81">
        <v>0</v>
      </c>
      <c r="G81">
        <v>0</v>
      </c>
      <c r="J81">
        <v>0</v>
      </c>
      <c r="L81">
        <v>0</v>
      </c>
    </row>
    <row r="82" spans="1:12" x14ac:dyDescent="0.25">
      <c r="A82" s="64">
        <v>45636</v>
      </c>
      <c r="C82">
        <v>0</v>
      </c>
      <c r="D82" t="s">
        <v>268</v>
      </c>
      <c r="E82">
        <v>0</v>
      </c>
      <c r="F82">
        <v>0</v>
      </c>
      <c r="G82">
        <v>0</v>
      </c>
      <c r="J82">
        <v>0</v>
      </c>
      <c r="L82">
        <v>0</v>
      </c>
    </row>
    <row r="83" spans="1:12" x14ac:dyDescent="0.25">
      <c r="A83" s="64">
        <v>45636</v>
      </c>
      <c r="C83">
        <v>0</v>
      </c>
      <c r="D83" t="s">
        <v>220</v>
      </c>
      <c r="E83">
        <v>0</v>
      </c>
      <c r="F83">
        <v>0</v>
      </c>
      <c r="G83">
        <v>0</v>
      </c>
      <c r="J83">
        <v>0</v>
      </c>
      <c r="L83">
        <v>0</v>
      </c>
    </row>
    <row r="84" spans="1:12" x14ac:dyDescent="0.25">
      <c r="A84" s="64">
        <v>45636</v>
      </c>
      <c r="B84" t="s">
        <v>232</v>
      </c>
      <c r="C84">
        <v>14</v>
      </c>
      <c r="D84" t="s">
        <v>225</v>
      </c>
      <c r="E84">
        <v>0.5</v>
      </c>
      <c r="F84">
        <v>9.4700000000000006</v>
      </c>
      <c r="G84">
        <v>106</v>
      </c>
      <c r="H84" t="s">
        <v>227</v>
      </c>
      <c r="I84">
        <v>21.5</v>
      </c>
      <c r="J84">
        <v>8.9700000000000006</v>
      </c>
      <c r="K84">
        <v>192.85499999999999</v>
      </c>
      <c r="L84">
        <v>0</v>
      </c>
    </row>
    <row r="85" spans="1:12" x14ac:dyDescent="0.25">
      <c r="A85" s="64">
        <v>45636</v>
      </c>
      <c r="B85" t="s">
        <v>232</v>
      </c>
      <c r="C85">
        <v>14</v>
      </c>
      <c r="D85" t="s">
        <v>212</v>
      </c>
      <c r="E85">
        <v>0.38</v>
      </c>
      <c r="F85">
        <v>10.95</v>
      </c>
      <c r="G85">
        <v>127.5</v>
      </c>
      <c r="H85" t="s">
        <v>214</v>
      </c>
      <c r="I85">
        <v>21.5</v>
      </c>
      <c r="J85">
        <v>10.569999999999999</v>
      </c>
      <c r="K85">
        <v>227.255</v>
      </c>
      <c r="L85">
        <v>0</v>
      </c>
    </row>
    <row r="86" spans="1:12" x14ac:dyDescent="0.25">
      <c r="A86" s="64">
        <v>45636</v>
      </c>
      <c r="B86" t="s">
        <v>232</v>
      </c>
      <c r="C86">
        <v>15</v>
      </c>
      <c r="D86" t="s">
        <v>269</v>
      </c>
      <c r="E86">
        <v>0.5</v>
      </c>
      <c r="F86">
        <v>10.33</v>
      </c>
      <c r="G86">
        <v>96</v>
      </c>
      <c r="H86" t="s">
        <v>372</v>
      </c>
      <c r="I86">
        <v>21.5</v>
      </c>
      <c r="J86">
        <v>9.83</v>
      </c>
      <c r="K86">
        <v>211.345</v>
      </c>
      <c r="L86">
        <v>0</v>
      </c>
    </row>
    <row r="87" spans="1:12" x14ac:dyDescent="0.25">
      <c r="A87" s="64">
        <v>45636</v>
      </c>
      <c r="B87" t="s">
        <v>232</v>
      </c>
      <c r="C87">
        <v>18</v>
      </c>
      <c r="D87" t="s">
        <v>204</v>
      </c>
      <c r="E87">
        <v>0.5</v>
      </c>
      <c r="F87">
        <v>10.25</v>
      </c>
      <c r="G87">
        <v>147.80000000000001</v>
      </c>
      <c r="H87" t="s">
        <v>112</v>
      </c>
      <c r="I87">
        <v>21.5</v>
      </c>
      <c r="J87">
        <v>9.75</v>
      </c>
      <c r="K87">
        <v>209.625</v>
      </c>
      <c r="L87">
        <v>0</v>
      </c>
    </row>
    <row r="88" spans="1:12" x14ac:dyDescent="0.25">
      <c r="A88" s="64">
        <v>45636</v>
      </c>
      <c r="B88" t="s">
        <v>232</v>
      </c>
      <c r="C88">
        <v>15</v>
      </c>
      <c r="D88" t="s">
        <v>215</v>
      </c>
      <c r="E88">
        <v>0.5</v>
      </c>
      <c r="F88">
        <v>10.02</v>
      </c>
      <c r="G88">
        <v>117.9</v>
      </c>
      <c r="H88" t="s">
        <v>217</v>
      </c>
      <c r="I88">
        <v>21.5</v>
      </c>
      <c r="J88">
        <v>9.52</v>
      </c>
      <c r="K88">
        <v>204.68</v>
      </c>
      <c r="L88">
        <v>0</v>
      </c>
    </row>
    <row r="89" spans="1:12" x14ac:dyDescent="0.25">
      <c r="A89" s="64">
        <v>45636</v>
      </c>
      <c r="B89" t="s">
        <v>232</v>
      </c>
      <c r="C89">
        <v>9</v>
      </c>
      <c r="D89" t="s">
        <v>222</v>
      </c>
      <c r="E89">
        <v>0.5</v>
      </c>
      <c r="F89">
        <v>8.07</v>
      </c>
      <c r="G89">
        <v>79.3</v>
      </c>
      <c r="H89" t="s">
        <v>224</v>
      </c>
      <c r="I89">
        <v>21.5</v>
      </c>
      <c r="J89">
        <v>7.57</v>
      </c>
      <c r="K89">
        <v>162.755</v>
      </c>
      <c r="L89">
        <v>0</v>
      </c>
    </row>
    <row r="90" spans="1:12" x14ac:dyDescent="0.25">
      <c r="A90" s="64">
        <v>45636</v>
      </c>
      <c r="B90" t="s">
        <v>232</v>
      </c>
      <c r="C90">
        <v>13</v>
      </c>
      <c r="D90" t="s">
        <v>209</v>
      </c>
      <c r="E90">
        <v>0.5</v>
      </c>
      <c r="F90">
        <v>10.02</v>
      </c>
      <c r="G90">
        <v>126</v>
      </c>
      <c r="H90" t="s">
        <v>211</v>
      </c>
      <c r="I90">
        <v>21.5</v>
      </c>
      <c r="J90">
        <v>9.52</v>
      </c>
      <c r="K90">
        <v>204.68</v>
      </c>
      <c r="L90">
        <v>0</v>
      </c>
    </row>
    <row r="91" spans="1:12" x14ac:dyDescent="0.25">
      <c r="A91" s="64">
        <v>45636</v>
      </c>
      <c r="B91" t="s">
        <v>232</v>
      </c>
      <c r="C91">
        <v>11</v>
      </c>
      <c r="D91" t="s">
        <v>266</v>
      </c>
      <c r="E91">
        <v>0.5</v>
      </c>
      <c r="F91">
        <v>11.45</v>
      </c>
      <c r="G91">
        <v>96.2</v>
      </c>
      <c r="H91" t="s">
        <v>360</v>
      </c>
      <c r="I91">
        <v>21.5</v>
      </c>
      <c r="J91">
        <v>10.95</v>
      </c>
      <c r="K91">
        <v>235.42500000000001</v>
      </c>
      <c r="L91">
        <v>0</v>
      </c>
    </row>
    <row r="92" spans="1:12" x14ac:dyDescent="0.25">
      <c r="A92" s="64">
        <v>45636</v>
      </c>
      <c r="B92" t="s">
        <v>232</v>
      </c>
      <c r="C92">
        <v>9</v>
      </c>
      <c r="D92" t="s">
        <v>218</v>
      </c>
      <c r="E92">
        <v>0.5</v>
      </c>
      <c r="F92">
        <v>10.32</v>
      </c>
      <c r="G92">
        <v>92.8</v>
      </c>
      <c r="H92" t="s">
        <v>371</v>
      </c>
      <c r="I92">
        <v>21.5</v>
      </c>
      <c r="J92">
        <v>9.82</v>
      </c>
      <c r="K92">
        <v>211.13</v>
      </c>
      <c r="L92">
        <v>0</v>
      </c>
    </row>
    <row r="93" spans="1:12" x14ac:dyDescent="0.25">
      <c r="A93" s="64">
        <v>45636</v>
      </c>
      <c r="B93" t="s">
        <v>232</v>
      </c>
      <c r="C93">
        <v>17</v>
      </c>
      <c r="D93" t="s">
        <v>206</v>
      </c>
      <c r="E93">
        <v>0.5</v>
      </c>
      <c r="F93">
        <v>12.23</v>
      </c>
      <c r="G93">
        <v>130.1</v>
      </c>
      <c r="H93" t="s">
        <v>208</v>
      </c>
      <c r="I93">
        <v>21.5</v>
      </c>
      <c r="J93">
        <v>11.73</v>
      </c>
      <c r="K93">
        <v>252.19499999999999</v>
      </c>
      <c r="L93">
        <v>0</v>
      </c>
    </row>
    <row r="94" spans="1:12" x14ac:dyDescent="0.25">
      <c r="A94" s="64">
        <v>45637</v>
      </c>
      <c r="C94">
        <v>0</v>
      </c>
      <c r="D94" t="s">
        <v>268</v>
      </c>
      <c r="E94">
        <v>0</v>
      </c>
      <c r="F94">
        <v>0</v>
      </c>
      <c r="G94">
        <v>0</v>
      </c>
      <c r="J94">
        <v>0</v>
      </c>
      <c r="L94">
        <v>0</v>
      </c>
    </row>
    <row r="95" spans="1:12" x14ac:dyDescent="0.25">
      <c r="A95" s="64">
        <v>45637</v>
      </c>
      <c r="C95">
        <v>0</v>
      </c>
      <c r="D95" t="s">
        <v>220</v>
      </c>
      <c r="E95">
        <v>0</v>
      </c>
      <c r="F95">
        <v>0</v>
      </c>
      <c r="G95">
        <v>0</v>
      </c>
      <c r="J95">
        <v>0</v>
      </c>
      <c r="L95">
        <v>0</v>
      </c>
    </row>
    <row r="96" spans="1:12" x14ac:dyDescent="0.25">
      <c r="A96" s="64">
        <v>45637</v>
      </c>
      <c r="C96">
        <v>0</v>
      </c>
      <c r="D96" t="s">
        <v>270</v>
      </c>
      <c r="E96">
        <v>0</v>
      </c>
      <c r="F96">
        <v>0</v>
      </c>
      <c r="G96">
        <v>0</v>
      </c>
      <c r="J96">
        <v>0</v>
      </c>
      <c r="L96">
        <v>0</v>
      </c>
    </row>
    <row r="97" spans="1:12" x14ac:dyDescent="0.25">
      <c r="A97" s="64">
        <v>45637</v>
      </c>
      <c r="B97" t="s">
        <v>232</v>
      </c>
      <c r="C97">
        <v>11</v>
      </c>
      <c r="D97" t="s">
        <v>225</v>
      </c>
      <c r="E97">
        <v>0.5</v>
      </c>
      <c r="F97">
        <v>10.17</v>
      </c>
      <c r="G97">
        <v>95.8</v>
      </c>
      <c r="H97" t="s">
        <v>227</v>
      </c>
      <c r="I97">
        <v>21.5</v>
      </c>
      <c r="J97">
        <v>9.67</v>
      </c>
      <c r="K97">
        <v>207.905</v>
      </c>
      <c r="L97">
        <v>0</v>
      </c>
    </row>
    <row r="98" spans="1:12" x14ac:dyDescent="0.25">
      <c r="A98" s="64">
        <v>45637</v>
      </c>
      <c r="B98" t="s">
        <v>232</v>
      </c>
      <c r="C98">
        <v>19</v>
      </c>
      <c r="D98" t="s">
        <v>212</v>
      </c>
      <c r="E98">
        <v>0.5</v>
      </c>
      <c r="F98">
        <v>11.13</v>
      </c>
      <c r="G98">
        <v>134.4</v>
      </c>
      <c r="H98" t="s">
        <v>214</v>
      </c>
      <c r="I98">
        <v>21.5</v>
      </c>
      <c r="J98">
        <v>10.63</v>
      </c>
      <c r="K98">
        <v>228.54499999999999</v>
      </c>
      <c r="L98">
        <v>0</v>
      </c>
    </row>
    <row r="99" spans="1:12" x14ac:dyDescent="0.25">
      <c r="A99" s="64">
        <v>45637</v>
      </c>
      <c r="B99" t="s">
        <v>232</v>
      </c>
      <c r="C99">
        <v>13</v>
      </c>
      <c r="D99" t="s">
        <v>269</v>
      </c>
      <c r="E99">
        <v>0.5</v>
      </c>
      <c r="F99">
        <v>10.68</v>
      </c>
      <c r="G99">
        <v>113.1</v>
      </c>
      <c r="H99" t="s">
        <v>372</v>
      </c>
      <c r="I99">
        <v>21.5</v>
      </c>
      <c r="J99">
        <v>10.18</v>
      </c>
      <c r="K99">
        <v>218.87</v>
      </c>
      <c r="L99">
        <v>0</v>
      </c>
    </row>
    <row r="100" spans="1:12" x14ac:dyDescent="0.25">
      <c r="A100" s="64">
        <v>45637</v>
      </c>
      <c r="B100" t="s">
        <v>232</v>
      </c>
      <c r="C100">
        <v>15</v>
      </c>
      <c r="D100" t="s">
        <v>204</v>
      </c>
      <c r="E100">
        <v>0.5</v>
      </c>
      <c r="F100">
        <v>10.7</v>
      </c>
      <c r="G100">
        <v>135.4</v>
      </c>
      <c r="H100" t="s">
        <v>112</v>
      </c>
      <c r="I100">
        <v>21.5</v>
      </c>
      <c r="J100">
        <v>10.199999999999999</v>
      </c>
      <c r="K100">
        <v>219.3</v>
      </c>
      <c r="L100">
        <v>0</v>
      </c>
    </row>
    <row r="101" spans="1:12" x14ac:dyDescent="0.25">
      <c r="A101" s="64">
        <v>45637</v>
      </c>
      <c r="B101" t="s">
        <v>232</v>
      </c>
      <c r="C101">
        <v>9</v>
      </c>
      <c r="D101" t="s">
        <v>215</v>
      </c>
      <c r="E101">
        <v>0.5</v>
      </c>
      <c r="F101">
        <v>9.8000000000000007</v>
      </c>
      <c r="G101">
        <v>109.6</v>
      </c>
      <c r="H101" t="s">
        <v>217</v>
      </c>
      <c r="I101">
        <v>21.5</v>
      </c>
      <c r="J101">
        <v>9.3000000000000007</v>
      </c>
      <c r="K101">
        <v>199.95</v>
      </c>
      <c r="L101">
        <v>0</v>
      </c>
    </row>
    <row r="102" spans="1:12" x14ac:dyDescent="0.25">
      <c r="A102" s="64">
        <v>45637</v>
      </c>
      <c r="B102" t="s">
        <v>232</v>
      </c>
      <c r="C102">
        <v>14</v>
      </c>
      <c r="D102" t="s">
        <v>222</v>
      </c>
      <c r="E102">
        <v>0.5</v>
      </c>
      <c r="F102">
        <v>11.27</v>
      </c>
      <c r="G102">
        <v>164.6</v>
      </c>
      <c r="H102" t="s">
        <v>224</v>
      </c>
      <c r="I102">
        <v>21.5</v>
      </c>
      <c r="J102">
        <v>10.77</v>
      </c>
      <c r="K102">
        <v>231.55500000000001</v>
      </c>
      <c r="L102">
        <v>0</v>
      </c>
    </row>
    <row r="103" spans="1:12" x14ac:dyDescent="0.25">
      <c r="A103" s="64">
        <v>45637</v>
      </c>
      <c r="B103" t="s">
        <v>232</v>
      </c>
      <c r="C103">
        <v>12</v>
      </c>
      <c r="D103" t="s">
        <v>209</v>
      </c>
      <c r="E103">
        <v>0.5</v>
      </c>
      <c r="F103">
        <v>9.3800000000000008</v>
      </c>
      <c r="G103">
        <v>114</v>
      </c>
      <c r="H103" t="s">
        <v>211</v>
      </c>
      <c r="I103">
        <v>21.5</v>
      </c>
      <c r="J103">
        <v>8.8800000000000008</v>
      </c>
      <c r="K103">
        <v>190.92</v>
      </c>
      <c r="L103">
        <v>0</v>
      </c>
    </row>
    <row r="104" spans="1:12" x14ac:dyDescent="0.25">
      <c r="A104" s="64">
        <v>45637</v>
      </c>
      <c r="B104" t="s">
        <v>232</v>
      </c>
      <c r="C104">
        <v>15</v>
      </c>
      <c r="D104" t="s">
        <v>266</v>
      </c>
      <c r="E104">
        <v>0.5</v>
      </c>
      <c r="F104">
        <v>10.7</v>
      </c>
      <c r="G104">
        <v>88</v>
      </c>
      <c r="H104" t="s">
        <v>360</v>
      </c>
      <c r="I104">
        <v>21.5</v>
      </c>
      <c r="J104">
        <v>10.199999999999999</v>
      </c>
      <c r="K104">
        <v>219.3</v>
      </c>
      <c r="L104">
        <v>0</v>
      </c>
    </row>
    <row r="105" spans="1:12" x14ac:dyDescent="0.25">
      <c r="A105" s="64">
        <v>45637</v>
      </c>
      <c r="B105" t="s">
        <v>232</v>
      </c>
      <c r="C105">
        <v>15</v>
      </c>
      <c r="D105" t="s">
        <v>218</v>
      </c>
      <c r="E105">
        <v>0.5</v>
      </c>
      <c r="F105">
        <v>10.75</v>
      </c>
      <c r="G105">
        <v>128</v>
      </c>
      <c r="H105" t="s">
        <v>371</v>
      </c>
      <c r="I105">
        <v>21.5</v>
      </c>
      <c r="J105">
        <v>10.25</v>
      </c>
      <c r="K105">
        <v>220.375</v>
      </c>
      <c r="L105">
        <v>0</v>
      </c>
    </row>
    <row r="106" spans="1:12" x14ac:dyDescent="0.25">
      <c r="A106" s="64">
        <v>45637</v>
      </c>
      <c r="B106" t="s">
        <v>232</v>
      </c>
      <c r="C106">
        <v>14</v>
      </c>
      <c r="D106" t="s">
        <v>206</v>
      </c>
      <c r="E106">
        <v>0.5</v>
      </c>
      <c r="F106">
        <v>12.15</v>
      </c>
      <c r="G106">
        <v>116.4</v>
      </c>
      <c r="H106" t="s">
        <v>208</v>
      </c>
      <c r="I106">
        <v>21.5</v>
      </c>
      <c r="J106">
        <v>11.65</v>
      </c>
      <c r="K106">
        <v>250.47499999999999</v>
      </c>
      <c r="L106">
        <v>0</v>
      </c>
    </row>
    <row r="107" spans="1:12" x14ac:dyDescent="0.25">
      <c r="A107" s="64">
        <v>45638</v>
      </c>
      <c r="C107">
        <v>0</v>
      </c>
      <c r="D107" t="s">
        <v>270</v>
      </c>
      <c r="E107">
        <v>0</v>
      </c>
      <c r="F107">
        <v>0</v>
      </c>
      <c r="G107">
        <v>0</v>
      </c>
      <c r="J107">
        <v>0</v>
      </c>
      <c r="L107">
        <v>0</v>
      </c>
    </row>
    <row r="108" spans="1:12" x14ac:dyDescent="0.25">
      <c r="A108" s="64">
        <v>45638</v>
      </c>
      <c r="C108">
        <v>0</v>
      </c>
      <c r="D108" t="s">
        <v>268</v>
      </c>
      <c r="E108">
        <v>0</v>
      </c>
      <c r="F108">
        <v>0</v>
      </c>
      <c r="G108">
        <v>0</v>
      </c>
      <c r="J108">
        <v>0</v>
      </c>
      <c r="L108">
        <v>0</v>
      </c>
    </row>
    <row r="109" spans="1:12" x14ac:dyDescent="0.25">
      <c r="A109" s="64">
        <v>45638</v>
      </c>
      <c r="C109">
        <v>0</v>
      </c>
      <c r="D109" t="s">
        <v>220</v>
      </c>
      <c r="E109">
        <v>0</v>
      </c>
      <c r="F109">
        <v>0</v>
      </c>
      <c r="G109">
        <v>0</v>
      </c>
      <c r="J109">
        <v>0</v>
      </c>
      <c r="L109">
        <v>0</v>
      </c>
    </row>
    <row r="110" spans="1:12" x14ac:dyDescent="0.25">
      <c r="A110" s="64">
        <v>45638</v>
      </c>
      <c r="B110" t="s">
        <v>232</v>
      </c>
      <c r="C110">
        <v>18</v>
      </c>
      <c r="D110" t="s">
        <v>225</v>
      </c>
      <c r="E110">
        <v>0.5</v>
      </c>
      <c r="F110">
        <v>10.38</v>
      </c>
      <c r="G110">
        <v>122.1</v>
      </c>
      <c r="H110" t="s">
        <v>227</v>
      </c>
      <c r="I110">
        <v>21.5</v>
      </c>
      <c r="J110">
        <v>9.8800000000000008</v>
      </c>
      <c r="K110">
        <v>212.42</v>
      </c>
      <c r="L110">
        <v>0</v>
      </c>
    </row>
    <row r="111" spans="1:12" x14ac:dyDescent="0.25">
      <c r="A111" s="64">
        <v>45638</v>
      </c>
      <c r="B111" t="s">
        <v>232</v>
      </c>
      <c r="C111">
        <v>17</v>
      </c>
      <c r="D111" t="s">
        <v>212</v>
      </c>
      <c r="E111">
        <v>0.5</v>
      </c>
      <c r="F111">
        <v>11</v>
      </c>
      <c r="G111">
        <v>118.8</v>
      </c>
      <c r="H111" t="s">
        <v>214</v>
      </c>
      <c r="I111">
        <v>21.5</v>
      </c>
      <c r="J111">
        <v>10.5</v>
      </c>
      <c r="K111">
        <v>225.75</v>
      </c>
      <c r="L111">
        <v>0</v>
      </c>
    </row>
    <row r="112" spans="1:12" x14ac:dyDescent="0.25">
      <c r="A112" s="64">
        <v>45638</v>
      </c>
      <c r="B112" t="s">
        <v>232</v>
      </c>
      <c r="C112">
        <v>13</v>
      </c>
      <c r="D112" t="s">
        <v>269</v>
      </c>
      <c r="E112">
        <v>0.5</v>
      </c>
      <c r="F112">
        <v>9.9700000000000006</v>
      </c>
      <c r="G112">
        <v>103.1</v>
      </c>
      <c r="H112" t="s">
        <v>372</v>
      </c>
      <c r="I112">
        <v>21.5</v>
      </c>
      <c r="J112">
        <v>9.4700000000000006</v>
      </c>
      <c r="K112">
        <v>203.60499999999999</v>
      </c>
      <c r="L112">
        <v>0</v>
      </c>
    </row>
    <row r="113" spans="1:12" x14ac:dyDescent="0.25">
      <c r="A113" s="64">
        <v>45638</v>
      </c>
      <c r="B113" t="s">
        <v>232</v>
      </c>
      <c r="C113">
        <v>10</v>
      </c>
      <c r="D113" t="s">
        <v>204</v>
      </c>
      <c r="E113">
        <v>0.5</v>
      </c>
      <c r="F113">
        <v>10.27</v>
      </c>
      <c r="G113">
        <v>102.2</v>
      </c>
      <c r="H113" t="s">
        <v>112</v>
      </c>
      <c r="I113">
        <v>21.5</v>
      </c>
      <c r="J113">
        <v>9.77</v>
      </c>
      <c r="K113">
        <v>210.05500000000001</v>
      </c>
      <c r="L113">
        <v>0</v>
      </c>
    </row>
    <row r="114" spans="1:12" x14ac:dyDescent="0.25">
      <c r="A114" s="64">
        <v>45638</v>
      </c>
      <c r="B114" t="s">
        <v>232</v>
      </c>
      <c r="C114">
        <v>11</v>
      </c>
      <c r="D114" t="s">
        <v>215</v>
      </c>
      <c r="E114">
        <v>0.5</v>
      </c>
      <c r="F114">
        <v>10.97</v>
      </c>
      <c r="G114">
        <v>110.1</v>
      </c>
      <c r="H114" t="s">
        <v>217</v>
      </c>
      <c r="I114">
        <v>21.5</v>
      </c>
      <c r="J114">
        <v>10.47</v>
      </c>
      <c r="K114">
        <v>225.10499999999999</v>
      </c>
      <c r="L114">
        <v>0</v>
      </c>
    </row>
    <row r="115" spans="1:12" x14ac:dyDescent="0.25">
      <c r="A115" s="64">
        <v>45638</v>
      </c>
      <c r="B115" t="s">
        <v>232</v>
      </c>
      <c r="C115">
        <v>13</v>
      </c>
      <c r="D115" t="s">
        <v>222</v>
      </c>
      <c r="E115">
        <v>0.5</v>
      </c>
      <c r="F115">
        <v>10.62</v>
      </c>
      <c r="G115">
        <v>113.8</v>
      </c>
      <c r="H115" t="s">
        <v>224</v>
      </c>
      <c r="I115">
        <v>21.5</v>
      </c>
      <c r="J115">
        <v>10.119999999999999</v>
      </c>
      <c r="K115">
        <v>217.58</v>
      </c>
      <c r="L115">
        <v>0</v>
      </c>
    </row>
    <row r="116" spans="1:12" x14ac:dyDescent="0.25">
      <c r="A116" s="64">
        <v>45638</v>
      </c>
      <c r="B116" t="s">
        <v>232</v>
      </c>
      <c r="C116">
        <v>11</v>
      </c>
      <c r="D116" t="s">
        <v>209</v>
      </c>
      <c r="E116">
        <v>0.5</v>
      </c>
      <c r="F116">
        <v>10.5</v>
      </c>
      <c r="G116">
        <v>112.2</v>
      </c>
      <c r="H116" t="s">
        <v>211</v>
      </c>
      <c r="I116">
        <v>21.5</v>
      </c>
      <c r="J116">
        <v>10</v>
      </c>
      <c r="K116">
        <v>215</v>
      </c>
      <c r="L116">
        <v>0</v>
      </c>
    </row>
    <row r="117" spans="1:12" x14ac:dyDescent="0.25">
      <c r="A117" s="64">
        <v>45638</v>
      </c>
      <c r="B117" t="s">
        <v>232</v>
      </c>
      <c r="C117">
        <v>11</v>
      </c>
      <c r="D117" t="s">
        <v>266</v>
      </c>
      <c r="E117">
        <v>0.5</v>
      </c>
      <c r="F117">
        <v>11.15</v>
      </c>
      <c r="G117">
        <v>101.6</v>
      </c>
      <c r="H117" t="s">
        <v>360</v>
      </c>
      <c r="I117">
        <v>21.5</v>
      </c>
      <c r="J117">
        <v>10.65</v>
      </c>
      <c r="K117">
        <v>228.97499999999999</v>
      </c>
      <c r="L117">
        <v>0</v>
      </c>
    </row>
    <row r="118" spans="1:12" x14ac:dyDescent="0.25">
      <c r="A118" s="64">
        <v>45638</v>
      </c>
      <c r="B118" t="s">
        <v>232</v>
      </c>
      <c r="C118">
        <v>12</v>
      </c>
      <c r="D118" t="s">
        <v>218</v>
      </c>
      <c r="E118">
        <v>0.5</v>
      </c>
      <c r="F118">
        <v>10.77</v>
      </c>
      <c r="G118">
        <v>145</v>
      </c>
      <c r="H118" t="s">
        <v>371</v>
      </c>
      <c r="I118">
        <v>21.5</v>
      </c>
      <c r="J118">
        <v>10.27</v>
      </c>
      <c r="K118">
        <v>220.80500000000001</v>
      </c>
      <c r="L118">
        <v>0</v>
      </c>
    </row>
    <row r="119" spans="1:12" x14ac:dyDescent="0.25">
      <c r="A119" s="64">
        <v>45638</v>
      </c>
      <c r="B119" t="s">
        <v>232</v>
      </c>
      <c r="C119">
        <v>8</v>
      </c>
      <c r="D119" t="s">
        <v>206</v>
      </c>
      <c r="E119">
        <v>0</v>
      </c>
      <c r="F119">
        <v>5.8</v>
      </c>
      <c r="G119">
        <v>85.8</v>
      </c>
      <c r="H119" t="s">
        <v>208</v>
      </c>
      <c r="I119">
        <v>21.5</v>
      </c>
      <c r="J119">
        <v>5.8</v>
      </c>
      <c r="K119">
        <v>124.7</v>
      </c>
      <c r="L119">
        <v>0</v>
      </c>
    </row>
    <row r="120" spans="1:12" x14ac:dyDescent="0.25">
      <c r="A120" s="64">
        <v>45639</v>
      </c>
      <c r="C120">
        <v>0</v>
      </c>
      <c r="D120" t="s">
        <v>270</v>
      </c>
      <c r="E120">
        <v>0</v>
      </c>
      <c r="F120">
        <v>0</v>
      </c>
      <c r="G120">
        <v>0</v>
      </c>
      <c r="J120">
        <v>0</v>
      </c>
      <c r="L120">
        <v>0</v>
      </c>
    </row>
    <row r="121" spans="1:12" x14ac:dyDescent="0.25">
      <c r="A121" s="64">
        <v>45639</v>
      </c>
      <c r="C121">
        <v>0</v>
      </c>
      <c r="D121" t="s">
        <v>268</v>
      </c>
      <c r="E121">
        <v>0</v>
      </c>
      <c r="F121">
        <v>0</v>
      </c>
      <c r="G121">
        <v>0</v>
      </c>
      <c r="J121">
        <v>0</v>
      </c>
      <c r="L121">
        <v>0</v>
      </c>
    </row>
    <row r="122" spans="1:12" x14ac:dyDescent="0.25">
      <c r="A122" s="64">
        <v>45639</v>
      </c>
      <c r="C122">
        <v>0</v>
      </c>
      <c r="D122" t="s">
        <v>220</v>
      </c>
      <c r="E122">
        <v>0</v>
      </c>
      <c r="F122">
        <v>0</v>
      </c>
      <c r="G122">
        <v>0</v>
      </c>
      <c r="J122">
        <v>0</v>
      </c>
      <c r="L122">
        <v>0</v>
      </c>
    </row>
    <row r="123" spans="1:12" x14ac:dyDescent="0.25">
      <c r="A123" s="64">
        <v>45639</v>
      </c>
      <c r="B123" t="s">
        <v>232</v>
      </c>
      <c r="C123">
        <v>14</v>
      </c>
      <c r="D123" t="s">
        <v>225</v>
      </c>
      <c r="E123">
        <v>0.5</v>
      </c>
      <c r="F123">
        <v>10.37</v>
      </c>
      <c r="G123">
        <v>106.7</v>
      </c>
      <c r="H123" t="s">
        <v>227</v>
      </c>
      <c r="I123">
        <v>21.5</v>
      </c>
      <c r="J123">
        <v>9.8699999999999992</v>
      </c>
      <c r="K123">
        <v>212.20500000000001</v>
      </c>
      <c r="L123">
        <v>0</v>
      </c>
    </row>
    <row r="124" spans="1:12" x14ac:dyDescent="0.25">
      <c r="A124" s="64">
        <v>45639</v>
      </c>
      <c r="B124" t="s">
        <v>232</v>
      </c>
      <c r="C124">
        <v>17</v>
      </c>
      <c r="D124" t="s">
        <v>212</v>
      </c>
      <c r="E124">
        <v>0.5</v>
      </c>
      <c r="F124">
        <v>11.58</v>
      </c>
      <c r="G124">
        <v>161.5</v>
      </c>
      <c r="H124" t="s">
        <v>214</v>
      </c>
      <c r="I124">
        <v>21.5</v>
      </c>
      <c r="J124">
        <v>11.08</v>
      </c>
      <c r="K124">
        <v>238.22</v>
      </c>
      <c r="L124">
        <v>0</v>
      </c>
    </row>
    <row r="125" spans="1:12" x14ac:dyDescent="0.25">
      <c r="A125" s="64">
        <v>45639</v>
      </c>
      <c r="B125" t="s">
        <v>232</v>
      </c>
      <c r="C125">
        <v>13</v>
      </c>
      <c r="D125" t="s">
        <v>269</v>
      </c>
      <c r="E125">
        <v>0.5</v>
      </c>
      <c r="F125">
        <v>9.92</v>
      </c>
      <c r="G125">
        <v>112</v>
      </c>
      <c r="H125" t="s">
        <v>372</v>
      </c>
      <c r="I125">
        <v>21.5</v>
      </c>
      <c r="J125">
        <v>9.42</v>
      </c>
      <c r="K125">
        <v>202.53</v>
      </c>
      <c r="L125">
        <v>0</v>
      </c>
    </row>
    <row r="126" spans="1:12" x14ac:dyDescent="0.25">
      <c r="A126" s="64">
        <v>45639</v>
      </c>
      <c r="B126" t="s">
        <v>232</v>
      </c>
      <c r="C126">
        <v>15</v>
      </c>
      <c r="D126" t="s">
        <v>204</v>
      </c>
      <c r="E126">
        <v>0.5</v>
      </c>
      <c r="F126">
        <v>11.2</v>
      </c>
      <c r="G126">
        <v>153.69999999999999</v>
      </c>
      <c r="H126" t="s">
        <v>112</v>
      </c>
      <c r="I126">
        <v>21.5</v>
      </c>
      <c r="J126">
        <v>10.7</v>
      </c>
      <c r="K126">
        <v>230.05</v>
      </c>
      <c r="L126">
        <v>0</v>
      </c>
    </row>
    <row r="127" spans="1:12" x14ac:dyDescent="0.25">
      <c r="A127" s="64">
        <v>45639</v>
      </c>
      <c r="B127" t="s">
        <v>232</v>
      </c>
      <c r="C127">
        <v>14</v>
      </c>
      <c r="D127" t="s">
        <v>215</v>
      </c>
      <c r="E127">
        <v>0.5</v>
      </c>
      <c r="F127">
        <v>10.82</v>
      </c>
      <c r="G127">
        <v>131.5</v>
      </c>
      <c r="H127" t="s">
        <v>217</v>
      </c>
      <c r="I127">
        <v>21.5</v>
      </c>
      <c r="J127">
        <v>10.32</v>
      </c>
      <c r="K127">
        <v>221.88</v>
      </c>
      <c r="L127">
        <v>0</v>
      </c>
    </row>
    <row r="128" spans="1:12" x14ac:dyDescent="0.25">
      <c r="A128" s="64">
        <v>45639</v>
      </c>
      <c r="B128" t="s">
        <v>232</v>
      </c>
      <c r="C128">
        <v>16</v>
      </c>
      <c r="D128" t="s">
        <v>222</v>
      </c>
      <c r="E128">
        <v>0.5</v>
      </c>
      <c r="F128">
        <v>11.18</v>
      </c>
      <c r="G128">
        <v>145.4</v>
      </c>
      <c r="H128" t="s">
        <v>224</v>
      </c>
      <c r="I128">
        <v>21.5</v>
      </c>
      <c r="J128">
        <v>10.68</v>
      </c>
      <c r="K128">
        <v>229.62</v>
      </c>
      <c r="L128">
        <v>0</v>
      </c>
    </row>
    <row r="129" spans="1:12" x14ac:dyDescent="0.25">
      <c r="A129" s="64">
        <v>45639</v>
      </c>
      <c r="B129" t="s">
        <v>232</v>
      </c>
      <c r="C129">
        <v>13</v>
      </c>
      <c r="D129" t="s">
        <v>209</v>
      </c>
      <c r="E129">
        <v>0.5</v>
      </c>
      <c r="F129">
        <v>10.17</v>
      </c>
      <c r="G129">
        <v>125.9</v>
      </c>
      <c r="H129" t="s">
        <v>211</v>
      </c>
      <c r="I129">
        <v>21.5</v>
      </c>
      <c r="J129">
        <v>9.67</v>
      </c>
      <c r="K129">
        <v>207.905</v>
      </c>
      <c r="L129">
        <v>0</v>
      </c>
    </row>
    <row r="130" spans="1:12" x14ac:dyDescent="0.25">
      <c r="A130" s="64">
        <v>45639</v>
      </c>
      <c r="B130" t="s">
        <v>232</v>
      </c>
      <c r="C130">
        <v>12</v>
      </c>
      <c r="D130" t="s">
        <v>266</v>
      </c>
      <c r="E130">
        <v>0.5</v>
      </c>
      <c r="F130">
        <v>10.58</v>
      </c>
      <c r="G130">
        <v>112.3</v>
      </c>
      <c r="H130" t="s">
        <v>360</v>
      </c>
      <c r="I130">
        <v>21.5</v>
      </c>
      <c r="J130">
        <v>10.08</v>
      </c>
      <c r="K130">
        <v>216.72</v>
      </c>
      <c r="L130">
        <v>0</v>
      </c>
    </row>
    <row r="131" spans="1:12" x14ac:dyDescent="0.25">
      <c r="A131" s="64">
        <v>45639</v>
      </c>
      <c r="B131" t="s">
        <v>232</v>
      </c>
      <c r="C131">
        <v>10</v>
      </c>
      <c r="D131" t="s">
        <v>218</v>
      </c>
      <c r="E131">
        <v>0.5</v>
      </c>
      <c r="F131">
        <v>10.029999999999999</v>
      </c>
      <c r="G131">
        <v>121.5</v>
      </c>
      <c r="H131" t="s">
        <v>371</v>
      </c>
      <c r="I131">
        <v>21.5</v>
      </c>
      <c r="J131">
        <v>9.5299999999999994</v>
      </c>
      <c r="K131">
        <v>204.89500000000001</v>
      </c>
      <c r="L131">
        <v>0</v>
      </c>
    </row>
    <row r="132" spans="1:12" x14ac:dyDescent="0.25">
      <c r="A132" s="64">
        <v>45639</v>
      </c>
      <c r="B132" t="s">
        <v>232</v>
      </c>
      <c r="C132">
        <v>0</v>
      </c>
      <c r="D132" t="s">
        <v>206</v>
      </c>
      <c r="E132">
        <v>0</v>
      </c>
      <c r="F132">
        <v>0</v>
      </c>
      <c r="G132">
        <v>0</v>
      </c>
      <c r="H132" t="s">
        <v>208</v>
      </c>
      <c r="I132">
        <v>21.5</v>
      </c>
      <c r="J132">
        <v>0</v>
      </c>
      <c r="K132">
        <v>0</v>
      </c>
      <c r="L132">
        <v>0</v>
      </c>
    </row>
    <row r="133" spans="1:12" x14ac:dyDescent="0.25">
      <c r="A133" s="64">
        <v>45640</v>
      </c>
      <c r="C133">
        <v>0</v>
      </c>
      <c r="D133" t="s">
        <v>270</v>
      </c>
      <c r="E133">
        <v>0</v>
      </c>
      <c r="F133">
        <v>0</v>
      </c>
      <c r="G133">
        <v>0</v>
      </c>
      <c r="J133">
        <v>0</v>
      </c>
      <c r="L133">
        <v>0</v>
      </c>
    </row>
    <row r="134" spans="1:12" x14ac:dyDescent="0.25">
      <c r="A134" s="64">
        <v>45640</v>
      </c>
      <c r="B134" t="s">
        <v>232</v>
      </c>
      <c r="C134">
        <v>11</v>
      </c>
      <c r="D134" t="s">
        <v>206</v>
      </c>
      <c r="E134">
        <v>0.5</v>
      </c>
      <c r="F134">
        <v>9.75</v>
      </c>
      <c r="G134">
        <v>127.2</v>
      </c>
      <c r="H134" t="s">
        <v>208</v>
      </c>
      <c r="I134">
        <v>21.5</v>
      </c>
      <c r="J134">
        <v>9.25</v>
      </c>
      <c r="K134">
        <v>198.875</v>
      </c>
      <c r="L134">
        <v>0</v>
      </c>
    </row>
    <row r="135" spans="1:12" x14ac:dyDescent="0.25">
      <c r="A135" s="64">
        <v>45641</v>
      </c>
      <c r="B135" t="s">
        <v>232</v>
      </c>
      <c r="C135">
        <v>8</v>
      </c>
      <c r="D135" t="s">
        <v>212</v>
      </c>
      <c r="E135">
        <v>0</v>
      </c>
      <c r="F135">
        <v>5.4</v>
      </c>
      <c r="G135">
        <v>88.2</v>
      </c>
      <c r="H135" t="s">
        <v>214</v>
      </c>
      <c r="I135">
        <v>21.5</v>
      </c>
      <c r="J135">
        <v>5.4</v>
      </c>
      <c r="K135">
        <v>116.1</v>
      </c>
      <c r="L135">
        <v>0</v>
      </c>
    </row>
    <row r="136" spans="1:12" x14ac:dyDescent="0.25">
      <c r="A136" s="64">
        <v>45641</v>
      </c>
      <c r="B136" t="s">
        <v>232</v>
      </c>
      <c r="C136">
        <v>11</v>
      </c>
      <c r="D136" t="s">
        <v>206</v>
      </c>
      <c r="E136">
        <v>0.5</v>
      </c>
      <c r="F136">
        <v>10.62</v>
      </c>
      <c r="G136">
        <v>105.9</v>
      </c>
      <c r="H136" t="s">
        <v>208</v>
      </c>
      <c r="I136">
        <v>21.5</v>
      </c>
      <c r="J136">
        <v>10.119999999999999</v>
      </c>
      <c r="K136">
        <v>217.58</v>
      </c>
      <c r="L136">
        <v>0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E60D4-ACF4-4CD3-A22D-8054111846F6}">
  <sheetPr codeName="Sheet33">
    <tabColor rgb="FFFF0000"/>
  </sheetPr>
  <dimension ref="A1:G2"/>
  <sheetViews>
    <sheetView showGridLines="0" workbookViewId="0">
      <selection activeCell="J14" sqref="J14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7.5703125" bestFit="1" customWidth="1"/>
    <col min="7" max="7" width="19" bestFit="1" customWidth="1"/>
  </cols>
  <sheetData>
    <row r="1" spans="1:7" x14ac:dyDescent="0.25">
      <c r="A1" t="s">
        <v>273</v>
      </c>
      <c r="B1" t="s">
        <v>274</v>
      </c>
      <c r="C1" t="s">
        <v>275</v>
      </c>
      <c r="D1" t="s">
        <v>68</v>
      </c>
      <c r="E1" t="s">
        <v>11</v>
      </c>
      <c r="F1" t="s">
        <v>102</v>
      </c>
      <c r="G1" t="s">
        <v>103</v>
      </c>
    </row>
    <row r="2" spans="1:7" x14ac:dyDescent="0.25">
      <c r="A2" s="64"/>
      <c r="B2" s="64"/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2D574-6F04-4653-AD97-73451B24E295}">
  <sheetPr codeName="Sheet9"/>
  <dimension ref="A1:D19"/>
  <sheetViews>
    <sheetView showGridLines="0" workbookViewId="0">
      <selection activeCell="D15" sqref="D15"/>
    </sheetView>
  </sheetViews>
  <sheetFormatPr defaultRowHeight="15" x14ac:dyDescent="0.25"/>
  <cols>
    <col min="1" max="1" width="17.7109375" customWidth="1"/>
    <col min="2" max="2" width="33.140625" customWidth="1"/>
  </cols>
  <sheetData>
    <row r="1" spans="1:4" x14ac:dyDescent="0.25">
      <c r="A1" s="63" t="s">
        <v>276</v>
      </c>
      <c r="B1" s="63" t="s">
        <v>277</v>
      </c>
      <c r="C1" s="63" t="s">
        <v>278</v>
      </c>
      <c r="D1" s="63" t="s">
        <v>279</v>
      </c>
    </row>
    <row r="2" spans="1:4" x14ac:dyDescent="0.25">
      <c r="B2" t="s">
        <v>280</v>
      </c>
      <c r="C2" t="s">
        <v>281</v>
      </c>
      <c r="D2" t="str">
        <f ca="1">IF(AND(B2=" ",A2=" ")," ",$B$18&amp;A2&amp;B2)</f>
        <v>C:\Users\USER\Desktop\DIV10\Trapeze Hrs RAW DATA</v>
      </c>
    </row>
    <row r="3" spans="1:4" x14ac:dyDescent="0.25">
      <c r="B3" t="s">
        <v>282</v>
      </c>
      <c r="C3" t="s">
        <v>283</v>
      </c>
      <c r="D3" t="str">
        <f ca="1">IF(AND(B3=" ",A3=" ")," ",$B$18&amp;A3&amp;B3)</f>
        <v>C:\Users\USER\Desktop\DIV10\Jasper Trips RAW DATA</v>
      </c>
    </row>
    <row r="4" spans="1:4" x14ac:dyDescent="0.25">
      <c r="B4" t="s">
        <v>284</v>
      </c>
      <c r="C4" t="s">
        <v>285</v>
      </c>
      <c r="D4" t="e">
        <f ca="1">IF(AND(B4=" ",A4=" ")," ",$B$19&amp;A4&amp;B4)</f>
        <v>#VALUE!</v>
      </c>
    </row>
    <row r="5" spans="1:4" x14ac:dyDescent="0.25">
      <c r="B5" t="s">
        <v>286</v>
      </c>
      <c r="C5" t="s">
        <v>287</v>
      </c>
      <c r="D5" t="e">
        <f ca="1">IF(AND(B5=" ",A5=" ")," ",$B$19&amp;A5&amp;B5)</f>
        <v>#VALUE!</v>
      </c>
    </row>
    <row r="6" spans="1:4" x14ac:dyDescent="0.25">
      <c r="B6" t="s">
        <v>288</v>
      </c>
      <c r="C6" t="s">
        <v>289</v>
      </c>
      <c r="D6" t="str">
        <f ca="1">IF(AND(B6=" ",A6=" ")," ",$B$18&amp;A6&amp;B6)</f>
        <v>C:\Users\USER\Desktop\DIV10\Operator Deductions-Other Earnings.xlsx</v>
      </c>
    </row>
    <row r="7" spans="1:4" x14ac:dyDescent="0.25">
      <c r="B7" t="s">
        <v>286</v>
      </c>
      <c r="C7" t="s">
        <v>287</v>
      </c>
      <c r="D7" t="e">
        <f ca="1">IF(AND(B7=" ",A7=" ")," ",$B$19&amp;A7&amp;B7)</f>
        <v>#VALUE!</v>
      </c>
    </row>
    <row r="8" spans="1:4" x14ac:dyDescent="0.25">
      <c r="B8" t="s">
        <v>290</v>
      </c>
      <c r="C8" t="s">
        <v>291</v>
      </c>
      <c r="D8" t="str">
        <f ca="1">IF(AND(B8=" ",A8=" ")," ",$B$18&amp;A8&amp;B8)</f>
        <v>C:\Users\USER\Desktop\DIV10\Uber Raw Data</v>
      </c>
    </row>
    <row r="9" spans="1:4" x14ac:dyDescent="0.25">
      <c r="B9" t="s">
        <v>292</v>
      </c>
      <c r="C9" t="s">
        <v>293</v>
      </c>
      <c r="D9" t="e">
        <f ca="1">IF(AND(B9=" ",A9=" ")," ",$B$19&amp;A9&amp;B9)</f>
        <v>#VALUE!</v>
      </c>
    </row>
    <row r="10" spans="1:4" x14ac:dyDescent="0.25">
      <c r="B10" t="s">
        <v>294</v>
      </c>
      <c r="C10" t="s">
        <v>295</v>
      </c>
      <c r="D10" t="e">
        <f ca="1">IF(AND(B10=" ",A10=" ")," ",$B$19&amp;A10&amp;B10)</f>
        <v>#VALUE!</v>
      </c>
    </row>
    <row r="11" spans="1:4" x14ac:dyDescent="0.25">
      <c r="B11" t="s">
        <v>296</v>
      </c>
      <c r="C11" t="s">
        <v>297</v>
      </c>
      <c r="D11" t="e">
        <f ca="1">IF(AND(B11=" ",A11=" ")," ",$B$19&amp;A11&amp;B11)</f>
        <v>#VALUE!</v>
      </c>
    </row>
    <row r="12" spans="1:4" x14ac:dyDescent="0.25">
      <c r="B12" t="s">
        <v>298</v>
      </c>
      <c r="C12" t="s">
        <v>299</v>
      </c>
      <c r="D12" t="str">
        <f ca="1">IF(AND(B12=" ",A12=" ")," ",$B$18&amp;A12&amp;B12)</f>
        <v>C:\Users\USER\Desktop\DIV10\Coast Transactions</v>
      </c>
    </row>
    <row r="13" spans="1:4" x14ac:dyDescent="0.25">
      <c r="B13" t="s">
        <v>300</v>
      </c>
      <c r="C13" t="s">
        <v>301</v>
      </c>
      <c r="D13" t="str">
        <f ca="1">IF(AND(B13=" ",A13=" ")," ",$B$18&amp;A13&amp;B13)</f>
        <v>C:\Users\USER\Desktop\DIV10\AAA Fuel Price.xlsx</v>
      </c>
    </row>
    <row r="14" spans="1:4" x14ac:dyDescent="0.25">
      <c r="B14" t="s">
        <v>68</v>
      </c>
      <c r="C14" t="s">
        <v>302</v>
      </c>
      <c r="D14" t="str">
        <f ca="1">IF(AND(B14=" ",A14=" ")," ",$B$18&amp;A14&amp;B14)</f>
        <v>C:\Users\USER\Desktop\DIV10\Tolls</v>
      </c>
    </row>
    <row r="17" spans="1:2" x14ac:dyDescent="0.25">
      <c r="A17" s="63" t="s">
        <v>303</v>
      </c>
      <c r="B17" t="str" cm="1">
        <f t="array" aca="1" ref="B17" ca="1">CELL("filename")</f>
        <v>C:\Users\USER\Desktop\DIV10\[VDP_DIV10_1230_0112_FINAL.xlsm]PR</v>
      </c>
    </row>
    <row r="18" spans="1:2" x14ac:dyDescent="0.25">
      <c r="A18" s="63" t="s">
        <v>304</v>
      </c>
      <c r="B18" t="str" cm="1">
        <f t="array" aca="1" ref="B18" ca="1">LEFT(CELL("filename",$B$17),FIND("[",CELL("filename",$B$17),1)-1)</f>
        <v>C:\Users\USER\Desktop\DIV10\</v>
      </c>
    </row>
    <row r="19" spans="1:2" x14ac:dyDescent="0.25">
      <c r="A19" s="63" t="s">
        <v>305</v>
      </c>
      <c r="B19" t="e" cm="1">
        <f t="array" aca="1" ref="B19" ca="1">LEFT(CELL("filename",$B$17),FIND("VDP AUTOMATION\",CELL("filename",$B$17),1)-1)</f>
        <v>#VALUE!</v>
      </c>
    </row>
  </sheetData>
  <phoneticPr fontId="44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6CCAC-F8B6-4A10-AC11-8798D9F60C52}">
  <sheetPr codeName="Sheet30"/>
  <dimension ref="A1:H93"/>
  <sheetViews>
    <sheetView topLeftCell="A4" workbookViewId="0">
      <selection activeCell="G2" sqref="G2"/>
    </sheetView>
  </sheetViews>
  <sheetFormatPr defaultRowHeight="15" x14ac:dyDescent="0.25"/>
  <cols>
    <col min="1" max="1" width="10.7109375" bestFit="1" customWidth="1"/>
    <col min="2" max="2" width="24.7109375" bestFit="1" customWidth="1"/>
    <col min="3" max="3" width="10.42578125" bestFit="1" customWidth="1"/>
    <col min="4" max="4" width="10" bestFit="1" customWidth="1"/>
    <col min="5" max="5" width="17" bestFit="1" customWidth="1"/>
    <col min="6" max="6" width="20.42578125" bestFit="1" customWidth="1"/>
    <col min="7" max="7" width="8.7109375" bestFit="1" customWidth="1"/>
    <col min="8" max="8" width="31.28515625" bestFit="1" customWidth="1"/>
  </cols>
  <sheetData>
    <row r="1" spans="1:8" x14ac:dyDescent="0.25">
      <c r="A1" t="s">
        <v>1</v>
      </c>
      <c r="B1" t="s">
        <v>306</v>
      </c>
      <c r="C1" t="s">
        <v>2</v>
      </c>
      <c r="D1" t="s">
        <v>307</v>
      </c>
      <c r="E1" t="s">
        <v>308</v>
      </c>
      <c r="F1" t="s">
        <v>309</v>
      </c>
      <c r="G1" t="s">
        <v>310</v>
      </c>
      <c r="H1" t="s">
        <v>102</v>
      </c>
    </row>
    <row r="2" spans="1:8" x14ac:dyDescent="0.25">
      <c r="A2" s="64">
        <v>45628</v>
      </c>
      <c r="B2" t="s">
        <v>113</v>
      </c>
      <c r="C2">
        <v>29</v>
      </c>
      <c r="D2">
        <v>7.43</v>
      </c>
      <c r="E2">
        <v>3.9</v>
      </c>
      <c r="F2">
        <v>28.976999999999997</v>
      </c>
      <c r="G2">
        <v>2.300000000000324E-2</v>
      </c>
      <c r="H2" t="s">
        <v>112</v>
      </c>
    </row>
    <row r="3" spans="1:8" x14ac:dyDescent="0.25">
      <c r="A3" s="64">
        <v>45628</v>
      </c>
      <c r="B3" t="s">
        <v>362</v>
      </c>
      <c r="C3">
        <v>30</v>
      </c>
      <c r="D3">
        <v>7.98</v>
      </c>
      <c r="E3">
        <v>3.76</v>
      </c>
      <c r="F3">
        <v>30.004799999999999</v>
      </c>
      <c r="G3">
        <v>-4.7999999999994714E-3</v>
      </c>
      <c r="H3" t="s">
        <v>371</v>
      </c>
    </row>
    <row r="4" spans="1:8" x14ac:dyDescent="0.25">
      <c r="A4" s="64">
        <v>45628</v>
      </c>
      <c r="B4" t="s">
        <v>363</v>
      </c>
      <c r="C4">
        <v>39</v>
      </c>
      <c r="D4">
        <v>8.48</v>
      </c>
      <c r="E4">
        <v>4.5999999999999996</v>
      </c>
      <c r="F4">
        <v>39.007999999999996</v>
      </c>
      <c r="G4">
        <v>-7.9999999999955662E-3</v>
      </c>
      <c r="H4" t="s">
        <v>211</v>
      </c>
    </row>
    <row r="5" spans="1:8" x14ac:dyDescent="0.25">
      <c r="A5" s="64">
        <v>45628</v>
      </c>
      <c r="B5" t="s">
        <v>364</v>
      </c>
      <c r="C5">
        <v>35</v>
      </c>
      <c r="D5">
        <v>9.2140000000000004</v>
      </c>
      <c r="E5">
        <v>3.8</v>
      </c>
      <c r="F5">
        <v>35.013199999999998</v>
      </c>
      <c r="G5">
        <v>-1.3199999999997658E-2</v>
      </c>
      <c r="H5" t="s">
        <v>224</v>
      </c>
    </row>
    <row r="6" spans="1:8" x14ac:dyDescent="0.25">
      <c r="A6" s="64">
        <v>45628</v>
      </c>
      <c r="B6" t="s">
        <v>365</v>
      </c>
      <c r="C6">
        <v>29</v>
      </c>
      <c r="D6">
        <v>8.36</v>
      </c>
      <c r="E6">
        <v>3.47</v>
      </c>
      <c r="F6">
        <v>29.0092</v>
      </c>
      <c r="G6">
        <v>-9.1999999999998749E-3</v>
      </c>
      <c r="H6" t="s">
        <v>214</v>
      </c>
    </row>
    <row r="7" spans="1:8" x14ac:dyDescent="0.25">
      <c r="A7" s="64">
        <v>45628</v>
      </c>
      <c r="B7" t="s">
        <v>366</v>
      </c>
      <c r="C7">
        <v>39</v>
      </c>
      <c r="D7">
        <v>9.6560000000000006</v>
      </c>
      <c r="E7">
        <v>4.04</v>
      </c>
      <c r="F7">
        <v>39.010240000000003</v>
      </c>
      <c r="G7">
        <v>-1.0240000000003135E-2</v>
      </c>
      <c r="H7" t="s">
        <v>217</v>
      </c>
    </row>
    <row r="8" spans="1:8" x14ac:dyDescent="0.25">
      <c r="A8" s="64">
        <v>45629</v>
      </c>
      <c r="B8" t="s">
        <v>113</v>
      </c>
      <c r="C8">
        <v>29</v>
      </c>
      <c r="D8">
        <v>7.43</v>
      </c>
      <c r="E8">
        <v>3.9</v>
      </c>
      <c r="F8">
        <v>28.976999999999997</v>
      </c>
      <c r="G8">
        <v>2.300000000000324E-2</v>
      </c>
      <c r="H8" t="s">
        <v>112</v>
      </c>
    </row>
    <row r="9" spans="1:8" x14ac:dyDescent="0.25">
      <c r="A9" s="64">
        <v>45629</v>
      </c>
      <c r="B9" t="s">
        <v>365</v>
      </c>
      <c r="C9">
        <v>29</v>
      </c>
      <c r="D9">
        <v>8.36</v>
      </c>
      <c r="E9">
        <v>3.47</v>
      </c>
      <c r="F9">
        <v>29.0092</v>
      </c>
      <c r="G9">
        <v>-9.1999999999998749E-3</v>
      </c>
      <c r="H9" t="s">
        <v>214</v>
      </c>
    </row>
    <row r="10" spans="1:8" x14ac:dyDescent="0.25">
      <c r="A10" s="64">
        <v>45629</v>
      </c>
      <c r="B10" t="s">
        <v>364</v>
      </c>
      <c r="C10">
        <v>37</v>
      </c>
      <c r="D10">
        <v>9.74</v>
      </c>
      <c r="E10">
        <v>3.8</v>
      </c>
      <c r="F10">
        <v>37.012</v>
      </c>
      <c r="G10">
        <v>-1.2000000000000455E-2</v>
      </c>
      <c r="H10" t="s">
        <v>224</v>
      </c>
    </row>
    <row r="11" spans="1:8" x14ac:dyDescent="0.25">
      <c r="A11" s="64">
        <v>45629</v>
      </c>
      <c r="B11" t="s">
        <v>367</v>
      </c>
      <c r="C11">
        <v>29</v>
      </c>
      <c r="D11">
        <v>6.306</v>
      </c>
      <c r="E11">
        <v>4.5999999999999996</v>
      </c>
      <c r="F11">
        <v>29.007599999999996</v>
      </c>
      <c r="G11">
        <v>-7.5999999999964984E-3</v>
      </c>
      <c r="H11" t="s">
        <v>227</v>
      </c>
    </row>
    <row r="12" spans="1:8" x14ac:dyDescent="0.25">
      <c r="A12" s="64">
        <v>45629</v>
      </c>
      <c r="B12" t="s">
        <v>368</v>
      </c>
      <c r="C12">
        <v>39</v>
      </c>
      <c r="D12">
        <v>10.16</v>
      </c>
      <c r="E12">
        <v>3.84</v>
      </c>
      <c r="F12">
        <v>39.014400000000002</v>
      </c>
      <c r="G12">
        <v>-1.4400000000001967E-2</v>
      </c>
      <c r="H12" t="s">
        <v>208</v>
      </c>
    </row>
    <row r="13" spans="1:8" x14ac:dyDescent="0.25">
      <c r="A13" s="64">
        <v>45629</v>
      </c>
      <c r="B13" t="s">
        <v>363</v>
      </c>
      <c r="C13">
        <v>39</v>
      </c>
      <c r="D13">
        <v>10.266</v>
      </c>
      <c r="E13">
        <v>3.8</v>
      </c>
      <c r="F13">
        <v>39.010799999999996</v>
      </c>
      <c r="G13">
        <v>-1.0799999999996146E-2</v>
      </c>
      <c r="H13" t="s">
        <v>211</v>
      </c>
    </row>
    <row r="14" spans="1:8" x14ac:dyDescent="0.25">
      <c r="A14" s="64">
        <v>45629</v>
      </c>
      <c r="B14" t="s">
        <v>366</v>
      </c>
      <c r="C14">
        <v>39</v>
      </c>
      <c r="D14">
        <v>10.542999999999999</v>
      </c>
      <c r="E14">
        <v>3.7</v>
      </c>
      <c r="F14">
        <v>39.009099999999997</v>
      </c>
      <c r="G14">
        <v>-9.0999999999965553E-3</v>
      </c>
      <c r="H14" t="s">
        <v>217</v>
      </c>
    </row>
    <row r="15" spans="1:8" x14ac:dyDescent="0.25">
      <c r="A15" s="64">
        <v>45629</v>
      </c>
      <c r="B15" t="s">
        <v>372</v>
      </c>
      <c r="C15">
        <v>59.3</v>
      </c>
      <c r="D15">
        <v>15.61</v>
      </c>
      <c r="E15">
        <v>3.8</v>
      </c>
      <c r="F15">
        <v>59.317999999999998</v>
      </c>
      <c r="G15">
        <v>-1.8000000000000682E-2</v>
      </c>
      <c r="H15" t="s">
        <v>372</v>
      </c>
    </row>
    <row r="16" spans="1:8" x14ac:dyDescent="0.25">
      <c r="A16" s="64">
        <v>45629</v>
      </c>
      <c r="B16" t="s">
        <v>362</v>
      </c>
      <c r="C16">
        <v>30</v>
      </c>
      <c r="D16">
        <v>9.093</v>
      </c>
      <c r="E16">
        <v>3.3</v>
      </c>
      <c r="F16">
        <v>30.006899999999998</v>
      </c>
      <c r="G16">
        <v>-6.8999999999981299E-3</v>
      </c>
      <c r="H16" t="s">
        <v>371</v>
      </c>
    </row>
    <row r="17" spans="1:8" x14ac:dyDescent="0.25">
      <c r="A17" s="64">
        <v>45630</v>
      </c>
      <c r="B17" t="s">
        <v>362</v>
      </c>
      <c r="C17">
        <v>30</v>
      </c>
      <c r="D17">
        <v>6.25</v>
      </c>
      <c r="E17">
        <v>4.8</v>
      </c>
      <c r="F17">
        <v>30</v>
      </c>
      <c r="G17">
        <v>0</v>
      </c>
      <c r="H17" t="s">
        <v>371</v>
      </c>
    </row>
    <row r="18" spans="1:8" x14ac:dyDescent="0.25">
      <c r="A18" s="64">
        <v>45630</v>
      </c>
      <c r="B18" t="s">
        <v>367</v>
      </c>
      <c r="C18">
        <v>29</v>
      </c>
      <c r="D18">
        <v>7.4379999999999997</v>
      </c>
      <c r="E18">
        <v>3.9</v>
      </c>
      <c r="F18">
        <v>29.008199999999999</v>
      </c>
      <c r="G18">
        <v>-8.1999999999986528E-3</v>
      </c>
      <c r="H18" t="s">
        <v>227</v>
      </c>
    </row>
    <row r="19" spans="1:8" x14ac:dyDescent="0.25">
      <c r="A19" s="64">
        <v>45630</v>
      </c>
      <c r="B19" t="s">
        <v>363</v>
      </c>
      <c r="C19">
        <v>39</v>
      </c>
      <c r="D19">
        <v>10.84</v>
      </c>
      <c r="E19">
        <v>3.6</v>
      </c>
      <c r="F19">
        <v>39.024000000000001</v>
      </c>
      <c r="G19">
        <v>-2.4000000000000909E-2</v>
      </c>
      <c r="H19" t="s">
        <v>211</v>
      </c>
    </row>
    <row r="20" spans="1:8" x14ac:dyDescent="0.25">
      <c r="A20" s="64">
        <v>45630</v>
      </c>
      <c r="B20" t="s">
        <v>113</v>
      </c>
      <c r="C20">
        <v>29</v>
      </c>
      <c r="D20">
        <v>7.51</v>
      </c>
      <c r="E20">
        <v>3.86</v>
      </c>
      <c r="F20">
        <v>28.988599999999998</v>
      </c>
      <c r="G20">
        <v>1.1400000000001853E-2</v>
      </c>
      <c r="H20" t="s">
        <v>112</v>
      </c>
    </row>
    <row r="21" spans="1:8" x14ac:dyDescent="0.25">
      <c r="A21" s="64">
        <v>45630</v>
      </c>
      <c r="B21" t="s">
        <v>364</v>
      </c>
      <c r="C21">
        <v>39</v>
      </c>
      <c r="D21">
        <v>10.266</v>
      </c>
      <c r="E21">
        <v>3.8</v>
      </c>
      <c r="F21">
        <v>39.010799999999996</v>
      </c>
      <c r="G21">
        <v>-1.0799999999996146E-2</v>
      </c>
      <c r="H21" t="s">
        <v>224</v>
      </c>
    </row>
    <row r="22" spans="1:8" x14ac:dyDescent="0.25">
      <c r="A22" s="64">
        <v>45630</v>
      </c>
      <c r="B22" t="s">
        <v>368</v>
      </c>
      <c r="C22">
        <v>39</v>
      </c>
      <c r="D22">
        <v>10.26</v>
      </c>
      <c r="E22">
        <v>3.8</v>
      </c>
      <c r="F22">
        <v>38.988</v>
      </c>
      <c r="G22">
        <v>1.2000000000000455E-2</v>
      </c>
      <c r="H22" t="s">
        <v>208</v>
      </c>
    </row>
    <row r="23" spans="1:8" x14ac:dyDescent="0.25">
      <c r="A23" s="64">
        <v>45630</v>
      </c>
      <c r="B23" t="s">
        <v>365</v>
      </c>
      <c r="C23">
        <v>29</v>
      </c>
      <c r="D23">
        <v>8.532</v>
      </c>
      <c r="E23">
        <v>3.4</v>
      </c>
      <c r="F23">
        <v>29.008800000000001</v>
      </c>
      <c r="G23">
        <v>-8.8000000000008072E-3</v>
      </c>
      <c r="H23" t="s">
        <v>214</v>
      </c>
    </row>
    <row r="24" spans="1:8" x14ac:dyDescent="0.25">
      <c r="A24" s="64">
        <v>45630</v>
      </c>
      <c r="B24" t="s">
        <v>366</v>
      </c>
      <c r="C24">
        <v>39</v>
      </c>
      <c r="D24">
        <v>10.265000000000001</v>
      </c>
      <c r="E24">
        <v>3.8</v>
      </c>
      <c r="F24">
        <v>39.006999999999998</v>
      </c>
      <c r="G24">
        <v>-6.9999999999978968E-3</v>
      </c>
      <c r="H24" t="s">
        <v>217</v>
      </c>
    </row>
    <row r="25" spans="1:8" x14ac:dyDescent="0.25">
      <c r="A25" s="64">
        <v>45631</v>
      </c>
      <c r="B25" t="s">
        <v>362</v>
      </c>
      <c r="C25">
        <v>30</v>
      </c>
      <c r="D25">
        <v>9.09</v>
      </c>
      <c r="E25">
        <v>3.3</v>
      </c>
      <c r="F25">
        <v>29.996999999999996</v>
      </c>
      <c r="G25">
        <v>3.0000000000036664E-3</v>
      </c>
      <c r="H25" t="s">
        <v>371</v>
      </c>
    </row>
    <row r="26" spans="1:8" x14ac:dyDescent="0.25">
      <c r="A26" s="64">
        <v>45631</v>
      </c>
      <c r="B26" t="s">
        <v>366</v>
      </c>
      <c r="C26">
        <v>39</v>
      </c>
      <c r="D26">
        <v>10.265000000000001</v>
      </c>
      <c r="E26">
        <v>3.8</v>
      </c>
      <c r="F26">
        <v>39.006999999999998</v>
      </c>
      <c r="G26">
        <v>-6.9999999999978968E-3</v>
      </c>
      <c r="H26" t="s">
        <v>217</v>
      </c>
    </row>
    <row r="27" spans="1:8" x14ac:dyDescent="0.25">
      <c r="A27" s="64">
        <v>45631</v>
      </c>
      <c r="B27" t="s">
        <v>368</v>
      </c>
      <c r="C27">
        <v>39</v>
      </c>
      <c r="D27">
        <v>11.275</v>
      </c>
      <c r="E27">
        <v>3.46</v>
      </c>
      <c r="F27">
        <v>39.011499999999998</v>
      </c>
      <c r="G27">
        <v>-1.1499999999998067E-2</v>
      </c>
      <c r="H27" t="s">
        <v>208</v>
      </c>
    </row>
    <row r="28" spans="1:8" x14ac:dyDescent="0.25">
      <c r="A28" s="64">
        <v>45631</v>
      </c>
      <c r="B28" t="s">
        <v>364</v>
      </c>
      <c r="C28">
        <v>39</v>
      </c>
      <c r="D28">
        <v>10.266</v>
      </c>
      <c r="E28">
        <v>3.8</v>
      </c>
      <c r="F28">
        <v>39.010799999999996</v>
      </c>
      <c r="G28">
        <v>-1.0799999999996146E-2</v>
      </c>
      <c r="H28" t="s">
        <v>224</v>
      </c>
    </row>
    <row r="29" spans="1:8" x14ac:dyDescent="0.25">
      <c r="A29" s="64">
        <v>45631</v>
      </c>
      <c r="B29" t="s">
        <v>367</v>
      </c>
      <c r="C29">
        <v>29</v>
      </c>
      <c r="D29">
        <v>7.51</v>
      </c>
      <c r="E29">
        <v>3.86</v>
      </c>
      <c r="F29">
        <v>28.988599999999998</v>
      </c>
      <c r="G29">
        <v>1.1400000000001853E-2</v>
      </c>
      <c r="H29" t="s">
        <v>227</v>
      </c>
    </row>
    <row r="30" spans="1:8" x14ac:dyDescent="0.25">
      <c r="A30" s="64">
        <v>45631</v>
      </c>
      <c r="B30" t="s">
        <v>360</v>
      </c>
      <c r="C30">
        <v>29.01</v>
      </c>
      <c r="D30">
        <v>8.2899999999999991</v>
      </c>
      <c r="E30">
        <v>3.5</v>
      </c>
      <c r="F30">
        <v>29.014999999999997</v>
      </c>
      <c r="G30">
        <v>-4.9999999999954525E-3</v>
      </c>
      <c r="H30" t="s">
        <v>360</v>
      </c>
    </row>
    <row r="31" spans="1:8" x14ac:dyDescent="0.25">
      <c r="A31" s="64">
        <v>45631</v>
      </c>
      <c r="B31" t="s">
        <v>113</v>
      </c>
      <c r="C31">
        <v>29</v>
      </c>
      <c r="D31">
        <v>7.51</v>
      </c>
      <c r="E31">
        <v>3.86</v>
      </c>
      <c r="F31">
        <v>28.988599999999998</v>
      </c>
      <c r="G31">
        <v>1.1400000000001853E-2</v>
      </c>
      <c r="H31" t="s">
        <v>112</v>
      </c>
    </row>
    <row r="32" spans="1:8" x14ac:dyDescent="0.25">
      <c r="A32" s="64">
        <v>45631</v>
      </c>
      <c r="B32" t="s">
        <v>365</v>
      </c>
      <c r="C32">
        <v>29</v>
      </c>
      <c r="D32">
        <v>8.5310000000000006</v>
      </c>
      <c r="E32">
        <v>3.4</v>
      </c>
      <c r="F32">
        <v>29.005400000000002</v>
      </c>
      <c r="G32">
        <v>-5.4000000000016257E-3</v>
      </c>
      <c r="H32" t="s">
        <v>214</v>
      </c>
    </row>
    <row r="33" spans="1:8" x14ac:dyDescent="0.25">
      <c r="A33" s="64">
        <v>45632</v>
      </c>
      <c r="B33" t="s">
        <v>372</v>
      </c>
      <c r="C33">
        <v>59.12</v>
      </c>
      <c r="D33">
        <v>15.98</v>
      </c>
      <c r="E33">
        <v>3.7</v>
      </c>
      <c r="F33">
        <v>59.126000000000005</v>
      </c>
      <c r="G33">
        <v>-6.0000000000073328E-3</v>
      </c>
      <c r="H33" t="s">
        <v>372</v>
      </c>
    </row>
    <row r="34" spans="1:8" x14ac:dyDescent="0.25">
      <c r="A34" s="64">
        <v>45632</v>
      </c>
      <c r="B34" t="s">
        <v>113</v>
      </c>
      <c r="C34">
        <v>29</v>
      </c>
      <c r="D34">
        <v>7.51</v>
      </c>
      <c r="E34">
        <v>3.86</v>
      </c>
      <c r="F34">
        <v>28.988599999999998</v>
      </c>
      <c r="G34">
        <v>1.1400000000001853E-2</v>
      </c>
      <c r="H34" t="s">
        <v>112</v>
      </c>
    </row>
    <row r="35" spans="1:8" x14ac:dyDescent="0.25">
      <c r="A35" s="64">
        <v>45632</v>
      </c>
      <c r="B35" t="s">
        <v>365</v>
      </c>
      <c r="C35">
        <v>29</v>
      </c>
      <c r="D35">
        <v>8.5310000000000006</v>
      </c>
      <c r="E35">
        <v>3.4</v>
      </c>
      <c r="F35">
        <v>29.005400000000002</v>
      </c>
      <c r="G35">
        <v>-5.4000000000016257E-3</v>
      </c>
      <c r="H35" t="s">
        <v>214</v>
      </c>
    </row>
    <row r="36" spans="1:8" x14ac:dyDescent="0.25">
      <c r="A36" s="64">
        <v>45632</v>
      </c>
      <c r="B36" t="s">
        <v>367</v>
      </c>
      <c r="C36">
        <v>32.85</v>
      </c>
      <c r="D36">
        <v>8.4250000000000007</v>
      </c>
      <c r="E36">
        <v>3.9</v>
      </c>
      <c r="F36">
        <v>32.857500000000002</v>
      </c>
      <c r="G36">
        <v>-7.5000000000002842E-3</v>
      </c>
      <c r="H36" t="s">
        <v>227</v>
      </c>
    </row>
    <row r="37" spans="1:8" x14ac:dyDescent="0.25">
      <c r="A37" s="64">
        <v>45632</v>
      </c>
      <c r="B37" t="s">
        <v>360</v>
      </c>
      <c r="C37">
        <v>29.05</v>
      </c>
      <c r="D37">
        <v>7.2640000000000002</v>
      </c>
      <c r="E37">
        <v>4</v>
      </c>
      <c r="F37">
        <v>29.056000000000001</v>
      </c>
      <c r="G37">
        <v>-6.0000000000002274E-3</v>
      </c>
      <c r="H37" t="s">
        <v>360</v>
      </c>
    </row>
    <row r="38" spans="1:8" x14ac:dyDescent="0.25">
      <c r="A38" s="64">
        <v>45632</v>
      </c>
      <c r="B38" t="s">
        <v>364</v>
      </c>
      <c r="C38">
        <v>38.020000000000003</v>
      </c>
      <c r="D38">
        <v>10.007999999999999</v>
      </c>
      <c r="E38">
        <v>3.8</v>
      </c>
      <c r="F38">
        <v>38.030399999999993</v>
      </c>
      <c r="G38">
        <v>-1.0399999999989973E-2</v>
      </c>
      <c r="H38" t="s">
        <v>224</v>
      </c>
    </row>
    <row r="39" spans="1:8" x14ac:dyDescent="0.25">
      <c r="A39" s="64">
        <v>45632</v>
      </c>
      <c r="B39" t="s">
        <v>368</v>
      </c>
      <c r="C39">
        <v>39</v>
      </c>
      <c r="D39">
        <v>11.372999999999999</v>
      </c>
      <c r="E39">
        <v>3.46</v>
      </c>
      <c r="F39">
        <v>39.350580000000001</v>
      </c>
      <c r="G39">
        <v>-0.35058000000000078</v>
      </c>
      <c r="H39" t="s">
        <v>208</v>
      </c>
    </row>
    <row r="40" spans="1:8" x14ac:dyDescent="0.25">
      <c r="A40" s="64">
        <v>45632</v>
      </c>
      <c r="B40" t="s">
        <v>362</v>
      </c>
      <c r="C40">
        <v>39</v>
      </c>
      <c r="D40">
        <v>10.54</v>
      </c>
      <c r="E40">
        <v>3.7</v>
      </c>
      <c r="F40">
        <v>38.997999999999998</v>
      </c>
      <c r="G40">
        <v>2.0000000000024443E-3</v>
      </c>
      <c r="H40" t="s">
        <v>371</v>
      </c>
    </row>
    <row r="41" spans="1:8" x14ac:dyDescent="0.25">
      <c r="A41" s="64">
        <v>45632</v>
      </c>
      <c r="B41" t="s">
        <v>366</v>
      </c>
      <c r="C41">
        <v>39</v>
      </c>
      <c r="D41">
        <v>9.7040000000000006</v>
      </c>
      <c r="E41">
        <v>4.0199999999999996</v>
      </c>
      <c r="F41">
        <v>39.010079999999995</v>
      </c>
      <c r="G41">
        <v>-1.0079999999994982E-2</v>
      </c>
      <c r="H41" t="s">
        <v>217</v>
      </c>
    </row>
    <row r="42" spans="1:8" x14ac:dyDescent="0.25">
      <c r="A42" s="64">
        <v>45633</v>
      </c>
      <c r="B42" t="s">
        <v>368</v>
      </c>
      <c r="C42">
        <v>39</v>
      </c>
      <c r="D42">
        <v>10.16</v>
      </c>
      <c r="E42">
        <v>3.84</v>
      </c>
      <c r="F42">
        <v>39.014400000000002</v>
      </c>
      <c r="G42">
        <v>-1.4400000000001967E-2</v>
      </c>
      <c r="H42" t="s">
        <v>208</v>
      </c>
    </row>
    <row r="43" spans="1:8" x14ac:dyDescent="0.25">
      <c r="A43" s="64">
        <v>45634</v>
      </c>
      <c r="B43" t="s">
        <v>365</v>
      </c>
      <c r="C43">
        <v>29</v>
      </c>
      <c r="D43">
        <v>8.5310000000000006</v>
      </c>
      <c r="E43">
        <v>3.4</v>
      </c>
      <c r="F43">
        <v>29.005400000000002</v>
      </c>
      <c r="G43">
        <v>-5.4000000000016257E-3</v>
      </c>
      <c r="H43" t="s">
        <v>214</v>
      </c>
    </row>
    <row r="44" spans="1:8" x14ac:dyDescent="0.25">
      <c r="A44" s="64">
        <v>45634</v>
      </c>
      <c r="B44" t="s">
        <v>113</v>
      </c>
      <c r="C44">
        <v>29</v>
      </c>
      <c r="D44">
        <v>7.51</v>
      </c>
      <c r="E44">
        <v>3.86</v>
      </c>
      <c r="F44">
        <v>28.988599999999998</v>
      </c>
      <c r="G44">
        <v>1.1400000000001853E-2</v>
      </c>
      <c r="H44" t="s">
        <v>112</v>
      </c>
    </row>
    <row r="45" spans="1:8" x14ac:dyDescent="0.25">
      <c r="A45" s="64">
        <v>45634</v>
      </c>
      <c r="B45" t="s">
        <v>368</v>
      </c>
      <c r="C45">
        <v>39</v>
      </c>
      <c r="D45">
        <v>10.16</v>
      </c>
      <c r="E45">
        <v>3.84</v>
      </c>
      <c r="F45">
        <v>39.014400000000002</v>
      </c>
      <c r="G45">
        <v>-1.4400000000001967E-2</v>
      </c>
      <c r="H45" t="s">
        <v>208</v>
      </c>
    </row>
    <row r="46" spans="1:8" x14ac:dyDescent="0.25">
      <c r="A46" s="64">
        <v>45635</v>
      </c>
      <c r="B46" t="s">
        <v>113</v>
      </c>
      <c r="C46">
        <v>29</v>
      </c>
      <c r="D46">
        <v>7.51</v>
      </c>
      <c r="E46">
        <v>3.86</v>
      </c>
      <c r="F46">
        <v>28.988599999999998</v>
      </c>
      <c r="G46">
        <v>1.1400000000001853E-2</v>
      </c>
      <c r="H46" t="s">
        <v>112</v>
      </c>
    </row>
    <row r="47" spans="1:8" x14ac:dyDescent="0.25">
      <c r="A47" s="64">
        <v>45635</v>
      </c>
      <c r="B47" t="s">
        <v>364</v>
      </c>
      <c r="C47">
        <v>39</v>
      </c>
      <c r="D47">
        <v>10.266</v>
      </c>
      <c r="E47">
        <v>3.8</v>
      </c>
      <c r="F47">
        <v>39.010799999999996</v>
      </c>
      <c r="G47">
        <v>-1.0799999999996146E-2</v>
      </c>
      <c r="H47" t="s">
        <v>224</v>
      </c>
    </row>
    <row r="48" spans="1:8" x14ac:dyDescent="0.25">
      <c r="A48" s="64">
        <v>45635</v>
      </c>
      <c r="B48" t="s">
        <v>360</v>
      </c>
      <c r="C48">
        <v>29</v>
      </c>
      <c r="D48">
        <v>7.9260000000000002</v>
      </c>
      <c r="E48">
        <v>3.66</v>
      </c>
      <c r="F48">
        <v>29.009160000000001</v>
      </c>
      <c r="G48">
        <v>-9.1600000000013893E-3</v>
      </c>
      <c r="H48" t="s">
        <v>360</v>
      </c>
    </row>
    <row r="49" spans="1:8" x14ac:dyDescent="0.25">
      <c r="A49" s="64">
        <v>45635</v>
      </c>
      <c r="B49" t="s">
        <v>368</v>
      </c>
      <c r="C49">
        <v>28.59</v>
      </c>
      <c r="D49">
        <v>9.1379999999999999</v>
      </c>
      <c r="E49">
        <v>3.16</v>
      </c>
      <c r="F49">
        <v>28.876080000000002</v>
      </c>
      <c r="G49">
        <v>-0.28608000000000189</v>
      </c>
      <c r="H49" t="s">
        <v>208</v>
      </c>
    </row>
    <row r="50" spans="1:8" x14ac:dyDescent="0.25">
      <c r="A50" s="64">
        <v>45635</v>
      </c>
      <c r="B50" t="s">
        <v>366</v>
      </c>
      <c r="C50">
        <v>39</v>
      </c>
      <c r="D50">
        <v>9.7520000000000007</v>
      </c>
      <c r="E50">
        <v>4</v>
      </c>
      <c r="F50">
        <v>39.008000000000003</v>
      </c>
      <c r="G50">
        <v>-8.0000000000026716E-3</v>
      </c>
      <c r="H50" t="s">
        <v>217</v>
      </c>
    </row>
    <row r="51" spans="1:8" x14ac:dyDescent="0.25">
      <c r="A51" s="64">
        <v>45635</v>
      </c>
      <c r="B51" t="s">
        <v>367</v>
      </c>
      <c r="C51">
        <v>29</v>
      </c>
      <c r="D51">
        <v>7.63</v>
      </c>
      <c r="E51">
        <v>3.8</v>
      </c>
      <c r="F51">
        <v>28.994</v>
      </c>
      <c r="G51">
        <v>6.0000000000002274E-3</v>
      </c>
      <c r="H51" t="s">
        <v>227</v>
      </c>
    </row>
    <row r="52" spans="1:8" x14ac:dyDescent="0.25">
      <c r="A52" s="64">
        <v>45635</v>
      </c>
      <c r="B52" t="s">
        <v>363</v>
      </c>
      <c r="C52">
        <v>39</v>
      </c>
      <c r="D52">
        <v>10.003</v>
      </c>
      <c r="E52">
        <v>3.9</v>
      </c>
      <c r="F52">
        <v>39.011699999999998</v>
      </c>
      <c r="G52">
        <v>-1.1699999999997601E-2</v>
      </c>
      <c r="H52" t="s">
        <v>211</v>
      </c>
    </row>
    <row r="53" spans="1:8" x14ac:dyDescent="0.25">
      <c r="A53" s="64">
        <v>45635</v>
      </c>
      <c r="B53" t="s">
        <v>362</v>
      </c>
      <c r="C53">
        <v>26.71</v>
      </c>
      <c r="D53">
        <v>8.2449999999999992</v>
      </c>
      <c r="E53">
        <v>3.24</v>
      </c>
      <c r="F53">
        <v>26.713799999999999</v>
      </c>
      <c r="G53">
        <v>-3.7999999999982492E-3</v>
      </c>
      <c r="H53" t="s">
        <v>371</v>
      </c>
    </row>
    <row r="54" spans="1:8" x14ac:dyDescent="0.25">
      <c r="A54" s="64">
        <v>45635</v>
      </c>
      <c r="B54" t="s">
        <v>365</v>
      </c>
      <c r="C54">
        <v>29</v>
      </c>
      <c r="D54">
        <v>8.5310000000000006</v>
      </c>
      <c r="E54">
        <v>3.4</v>
      </c>
      <c r="F54">
        <v>29.005400000000002</v>
      </c>
      <c r="G54">
        <v>-5.4000000000016257E-3</v>
      </c>
      <c r="H54" t="s">
        <v>214</v>
      </c>
    </row>
    <row r="55" spans="1:8" x14ac:dyDescent="0.25">
      <c r="A55" s="64">
        <v>45636</v>
      </c>
      <c r="B55" t="s">
        <v>362</v>
      </c>
      <c r="C55">
        <v>20</v>
      </c>
      <c r="D55">
        <v>5.4</v>
      </c>
      <c r="E55">
        <v>3.7</v>
      </c>
      <c r="F55">
        <v>19.980000000000004</v>
      </c>
      <c r="G55">
        <v>1.9999999999996021E-2</v>
      </c>
      <c r="H55" t="s">
        <v>371</v>
      </c>
    </row>
    <row r="56" spans="1:8" x14ac:dyDescent="0.25">
      <c r="A56" s="64">
        <v>45636</v>
      </c>
      <c r="B56" t="s">
        <v>368</v>
      </c>
      <c r="C56">
        <v>39</v>
      </c>
      <c r="D56">
        <v>10.27</v>
      </c>
      <c r="E56">
        <v>3.8</v>
      </c>
      <c r="F56">
        <v>39.025999999999996</v>
      </c>
      <c r="G56">
        <v>-2.5999999999996248E-2</v>
      </c>
      <c r="H56" t="s">
        <v>208</v>
      </c>
    </row>
    <row r="57" spans="1:8" x14ac:dyDescent="0.25">
      <c r="A57" s="64">
        <v>45636</v>
      </c>
      <c r="B57" t="s">
        <v>363</v>
      </c>
      <c r="C57">
        <v>39</v>
      </c>
      <c r="D57">
        <v>9.0719999999999992</v>
      </c>
      <c r="E57">
        <v>4.3</v>
      </c>
      <c r="F57">
        <v>39.009599999999992</v>
      </c>
      <c r="G57">
        <v>-9.5999999999918373E-3</v>
      </c>
      <c r="H57" t="s">
        <v>211</v>
      </c>
    </row>
    <row r="58" spans="1:8" x14ac:dyDescent="0.25">
      <c r="A58" s="64">
        <v>45636</v>
      </c>
      <c r="B58" t="s">
        <v>366</v>
      </c>
      <c r="C58">
        <v>39</v>
      </c>
      <c r="D58">
        <v>9.7040000000000006</v>
      </c>
      <c r="E58">
        <v>4.0199999999999996</v>
      </c>
      <c r="F58">
        <v>39.010079999999995</v>
      </c>
      <c r="G58">
        <v>-1.0079999999994982E-2</v>
      </c>
      <c r="H58" t="s">
        <v>217</v>
      </c>
    </row>
    <row r="59" spans="1:8" x14ac:dyDescent="0.25">
      <c r="A59" s="64">
        <v>45636</v>
      </c>
      <c r="B59" t="s">
        <v>367</v>
      </c>
      <c r="C59">
        <v>29</v>
      </c>
      <c r="D59">
        <v>8.0500000000000007</v>
      </c>
      <c r="E59">
        <v>3.6</v>
      </c>
      <c r="F59">
        <v>28.980000000000004</v>
      </c>
      <c r="G59">
        <v>1.9999999999996021E-2</v>
      </c>
      <c r="H59" t="s">
        <v>227</v>
      </c>
    </row>
    <row r="60" spans="1:8" x14ac:dyDescent="0.25">
      <c r="A60" s="64">
        <v>45636</v>
      </c>
      <c r="B60" t="s">
        <v>365</v>
      </c>
      <c r="C60">
        <v>29</v>
      </c>
      <c r="D60">
        <v>8.5310000000000006</v>
      </c>
      <c r="E60">
        <v>3.4</v>
      </c>
      <c r="F60">
        <v>29.005400000000002</v>
      </c>
      <c r="G60">
        <v>-5.4000000000016257E-3</v>
      </c>
      <c r="H60" t="s">
        <v>214</v>
      </c>
    </row>
    <row r="61" spans="1:8" x14ac:dyDescent="0.25">
      <c r="A61" s="64">
        <v>45636</v>
      </c>
      <c r="B61" t="s">
        <v>372</v>
      </c>
      <c r="C61">
        <v>62.32</v>
      </c>
      <c r="D61">
        <v>15.58</v>
      </c>
      <c r="E61">
        <v>4</v>
      </c>
      <c r="F61">
        <v>62.32</v>
      </c>
      <c r="G61">
        <v>0</v>
      </c>
      <c r="H61" t="s">
        <v>372</v>
      </c>
    </row>
    <row r="62" spans="1:8" x14ac:dyDescent="0.25">
      <c r="A62" s="64">
        <v>45636</v>
      </c>
      <c r="B62" t="s">
        <v>364</v>
      </c>
      <c r="C62">
        <v>36</v>
      </c>
      <c r="D62">
        <v>9.4760000000000009</v>
      </c>
      <c r="E62">
        <v>3.8</v>
      </c>
      <c r="F62">
        <v>36.008800000000001</v>
      </c>
      <c r="G62">
        <v>-8.8000000000008072E-3</v>
      </c>
      <c r="H62" t="s">
        <v>224</v>
      </c>
    </row>
    <row r="63" spans="1:8" x14ac:dyDescent="0.25">
      <c r="A63" s="64">
        <v>45636</v>
      </c>
      <c r="B63" t="s">
        <v>113</v>
      </c>
      <c r="C63">
        <v>29</v>
      </c>
      <c r="D63">
        <v>8.15</v>
      </c>
      <c r="E63">
        <v>3.56</v>
      </c>
      <c r="F63">
        <v>29.014000000000003</v>
      </c>
      <c r="G63">
        <v>-1.4000000000002899E-2</v>
      </c>
      <c r="H63" t="s">
        <v>112</v>
      </c>
    </row>
    <row r="64" spans="1:8" x14ac:dyDescent="0.25">
      <c r="A64" s="64">
        <v>45636</v>
      </c>
      <c r="B64" t="s">
        <v>360</v>
      </c>
      <c r="C64">
        <v>29</v>
      </c>
      <c r="D64">
        <v>7.9260000000000002</v>
      </c>
      <c r="E64">
        <v>3.66</v>
      </c>
      <c r="F64">
        <v>29.009160000000001</v>
      </c>
      <c r="G64">
        <v>-9.1600000000013893E-3</v>
      </c>
      <c r="H64" t="s">
        <v>360</v>
      </c>
    </row>
    <row r="65" spans="1:8" x14ac:dyDescent="0.25">
      <c r="A65" s="64">
        <v>45637</v>
      </c>
      <c r="B65" t="s">
        <v>366</v>
      </c>
      <c r="C65">
        <v>39</v>
      </c>
      <c r="D65">
        <v>10.265000000000001</v>
      </c>
      <c r="E65">
        <v>3.8</v>
      </c>
      <c r="F65">
        <v>39.006999999999998</v>
      </c>
      <c r="G65">
        <v>-6.9999999999978968E-3</v>
      </c>
      <c r="H65" t="s">
        <v>217</v>
      </c>
    </row>
    <row r="66" spans="1:8" x14ac:dyDescent="0.25">
      <c r="A66" s="64">
        <v>45637</v>
      </c>
      <c r="B66" t="s">
        <v>368</v>
      </c>
      <c r="C66">
        <v>39</v>
      </c>
      <c r="D66">
        <v>10.19</v>
      </c>
      <c r="E66">
        <v>3.83</v>
      </c>
      <c r="F66">
        <v>39.027699999999996</v>
      </c>
      <c r="G66">
        <v>-2.7699999999995839E-2</v>
      </c>
      <c r="H66" t="s">
        <v>208</v>
      </c>
    </row>
    <row r="67" spans="1:8" x14ac:dyDescent="0.25">
      <c r="A67" s="64">
        <v>45637</v>
      </c>
      <c r="B67" t="s">
        <v>367</v>
      </c>
      <c r="C67">
        <v>29</v>
      </c>
      <c r="D67">
        <v>7.71</v>
      </c>
      <c r="E67">
        <v>3.76</v>
      </c>
      <c r="F67">
        <v>28.989599999999999</v>
      </c>
      <c r="G67">
        <v>1.0400000000000631E-2</v>
      </c>
      <c r="H67" t="s">
        <v>227</v>
      </c>
    </row>
    <row r="68" spans="1:8" x14ac:dyDescent="0.25">
      <c r="A68" s="64">
        <v>45637</v>
      </c>
      <c r="B68" t="s">
        <v>362</v>
      </c>
      <c r="C68">
        <v>30</v>
      </c>
      <c r="D68">
        <v>8.11</v>
      </c>
      <c r="E68">
        <v>3.7</v>
      </c>
      <c r="F68">
        <v>30.006999999999998</v>
      </c>
      <c r="G68">
        <v>-6.9999999999978968E-3</v>
      </c>
      <c r="H68" t="s">
        <v>371</v>
      </c>
    </row>
    <row r="69" spans="1:8" x14ac:dyDescent="0.25">
      <c r="A69" s="64">
        <v>45637</v>
      </c>
      <c r="B69" t="s">
        <v>365</v>
      </c>
      <c r="C69">
        <v>29</v>
      </c>
      <c r="D69">
        <v>8.5310000000000006</v>
      </c>
      <c r="E69">
        <v>3.4</v>
      </c>
      <c r="F69">
        <v>29.005400000000002</v>
      </c>
      <c r="G69">
        <v>-5.4000000000016257E-3</v>
      </c>
      <c r="H69" t="s">
        <v>214</v>
      </c>
    </row>
    <row r="70" spans="1:8" x14ac:dyDescent="0.25">
      <c r="A70" s="64">
        <v>45637</v>
      </c>
      <c r="B70" t="s">
        <v>364</v>
      </c>
      <c r="C70">
        <v>28.14</v>
      </c>
      <c r="D70">
        <v>7.407</v>
      </c>
      <c r="E70">
        <v>3.8</v>
      </c>
      <c r="F70">
        <v>28.146599999999999</v>
      </c>
      <c r="G70">
        <v>-6.599999999998829E-3</v>
      </c>
      <c r="H70" t="s">
        <v>224</v>
      </c>
    </row>
    <row r="71" spans="1:8" x14ac:dyDescent="0.25">
      <c r="A71" s="64">
        <v>45637</v>
      </c>
      <c r="B71" t="s">
        <v>113</v>
      </c>
      <c r="C71">
        <v>29</v>
      </c>
      <c r="D71">
        <v>7.51</v>
      </c>
      <c r="E71">
        <v>3.86</v>
      </c>
      <c r="F71">
        <v>28.988599999999998</v>
      </c>
      <c r="G71">
        <v>1.1400000000001853E-2</v>
      </c>
      <c r="H71" t="s">
        <v>112</v>
      </c>
    </row>
    <row r="72" spans="1:8" x14ac:dyDescent="0.25">
      <c r="A72" s="64">
        <v>45637</v>
      </c>
      <c r="B72" t="s">
        <v>360</v>
      </c>
      <c r="C72">
        <v>29</v>
      </c>
      <c r="D72">
        <v>7.9260000000000002</v>
      </c>
      <c r="E72">
        <v>3.66</v>
      </c>
      <c r="F72">
        <v>29.009160000000001</v>
      </c>
      <c r="G72">
        <v>-9.1600000000013893E-3</v>
      </c>
      <c r="H72" t="s">
        <v>360</v>
      </c>
    </row>
    <row r="73" spans="1:8" x14ac:dyDescent="0.25">
      <c r="A73" s="64">
        <v>45638</v>
      </c>
      <c r="B73" t="s">
        <v>113</v>
      </c>
      <c r="C73">
        <v>29</v>
      </c>
      <c r="D73">
        <v>7.51</v>
      </c>
      <c r="E73">
        <v>3.86</v>
      </c>
      <c r="F73">
        <v>28.988599999999998</v>
      </c>
      <c r="G73">
        <v>1.1400000000001853E-2</v>
      </c>
      <c r="H73" t="s">
        <v>112</v>
      </c>
    </row>
    <row r="74" spans="1:8" x14ac:dyDescent="0.25">
      <c r="A74" s="64">
        <v>45638</v>
      </c>
      <c r="B74" t="s">
        <v>364</v>
      </c>
      <c r="C74">
        <v>39</v>
      </c>
      <c r="D74">
        <v>10.266</v>
      </c>
      <c r="E74">
        <v>3.8</v>
      </c>
      <c r="F74">
        <v>39.010799999999996</v>
      </c>
      <c r="G74">
        <v>-1.0799999999996146E-2</v>
      </c>
      <c r="H74" t="s">
        <v>224</v>
      </c>
    </row>
    <row r="75" spans="1:8" x14ac:dyDescent="0.25">
      <c r="A75" s="64">
        <v>45638</v>
      </c>
      <c r="B75" t="s">
        <v>365</v>
      </c>
      <c r="C75">
        <v>29</v>
      </c>
      <c r="D75">
        <v>8.5310000000000006</v>
      </c>
      <c r="E75">
        <v>3.4</v>
      </c>
      <c r="F75">
        <v>29.005400000000002</v>
      </c>
      <c r="G75">
        <v>-5.4000000000016257E-3</v>
      </c>
      <c r="H75" t="s">
        <v>214</v>
      </c>
    </row>
    <row r="76" spans="1:8" x14ac:dyDescent="0.25">
      <c r="A76" s="64">
        <v>45638</v>
      </c>
      <c r="B76" t="s">
        <v>360</v>
      </c>
      <c r="C76">
        <v>0.93</v>
      </c>
      <c r="D76">
        <v>0.255</v>
      </c>
      <c r="E76">
        <v>3.65</v>
      </c>
      <c r="F76">
        <v>0.93074999999999997</v>
      </c>
      <c r="G76">
        <v>-7.499999999999174E-4</v>
      </c>
      <c r="H76" t="s">
        <v>360</v>
      </c>
    </row>
    <row r="77" spans="1:8" x14ac:dyDescent="0.25">
      <c r="A77" s="64">
        <v>45638</v>
      </c>
      <c r="B77" t="s">
        <v>360</v>
      </c>
      <c r="C77">
        <v>38.07</v>
      </c>
      <c r="D77">
        <v>11.975</v>
      </c>
      <c r="E77">
        <v>3.18</v>
      </c>
      <c r="F77">
        <v>38.080500000000001</v>
      </c>
      <c r="G77">
        <v>-1.0500000000000398E-2</v>
      </c>
      <c r="H77" t="s">
        <v>360</v>
      </c>
    </row>
    <row r="78" spans="1:8" x14ac:dyDescent="0.25">
      <c r="A78" s="64">
        <v>45638</v>
      </c>
      <c r="B78" t="s">
        <v>372</v>
      </c>
      <c r="C78">
        <v>50.27</v>
      </c>
      <c r="D78">
        <v>15.714</v>
      </c>
      <c r="E78">
        <v>3.2</v>
      </c>
      <c r="F78">
        <v>50.284800000000004</v>
      </c>
      <c r="G78">
        <v>-1.4800000000001035E-2</v>
      </c>
      <c r="H78" t="s">
        <v>372</v>
      </c>
    </row>
    <row r="79" spans="1:8" x14ac:dyDescent="0.25">
      <c r="A79" s="64">
        <v>45638</v>
      </c>
      <c r="B79" t="s">
        <v>363</v>
      </c>
      <c r="C79">
        <v>39</v>
      </c>
      <c r="D79">
        <v>9.75</v>
      </c>
      <c r="E79">
        <v>4</v>
      </c>
      <c r="F79">
        <v>39</v>
      </c>
      <c r="G79">
        <v>0</v>
      </c>
      <c r="H79" t="s">
        <v>211</v>
      </c>
    </row>
    <row r="80" spans="1:8" x14ac:dyDescent="0.25">
      <c r="A80" s="64">
        <v>45638</v>
      </c>
      <c r="B80" t="s">
        <v>362</v>
      </c>
      <c r="C80">
        <v>30.02</v>
      </c>
      <c r="D80">
        <v>9.3840000000000003</v>
      </c>
      <c r="E80">
        <v>3.2</v>
      </c>
      <c r="F80">
        <v>30.028800000000004</v>
      </c>
      <c r="G80">
        <v>-8.8000000000043599E-3</v>
      </c>
      <c r="H80" t="s">
        <v>371</v>
      </c>
    </row>
    <row r="81" spans="1:8" x14ac:dyDescent="0.25">
      <c r="A81" s="64">
        <v>45639</v>
      </c>
      <c r="B81" t="s">
        <v>368</v>
      </c>
      <c r="C81">
        <v>39</v>
      </c>
      <c r="D81">
        <v>10.19</v>
      </c>
      <c r="E81">
        <v>3.83</v>
      </c>
      <c r="F81">
        <v>39.027699999999996</v>
      </c>
      <c r="G81">
        <v>-2.7699999999995839E-2</v>
      </c>
      <c r="H81" t="s">
        <v>208</v>
      </c>
    </row>
    <row r="82" spans="1:8" x14ac:dyDescent="0.25">
      <c r="A82" s="64">
        <v>45639</v>
      </c>
      <c r="B82" t="s">
        <v>360</v>
      </c>
      <c r="C82">
        <v>32.299999999999997</v>
      </c>
      <c r="D82">
        <v>8.5500000000000007</v>
      </c>
      <c r="E82">
        <v>3.78</v>
      </c>
      <c r="F82">
        <v>32.319000000000003</v>
      </c>
      <c r="G82">
        <v>-1.9000000000005457E-2</v>
      </c>
      <c r="H82" t="s">
        <v>360</v>
      </c>
    </row>
    <row r="83" spans="1:8" x14ac:dyDescent="0.25">
      <c r="A83" s="64">
        <v>45639</v>
      </c>
      <c r="B83" t="s">
        <v>363</v>
      </c>
      <c r="C83">
        <v>39</v>
      </c>
      <c r="D83">
        <v>10.266</v>
      </c>
      <c r="E83">
        <v>3.8</v>
      </c>
      <c r="F83">
        <v>39.010799999999996</v>
      </c>
      <c r="G83">
        <v>-1.0799999999996146E-2</v>
      </c>
      <c r="H83" t="s">
        <v>211</v>
      </c>
    </row>
    <row r="84" spans="1:8" x14ac:dyDescent="0.25">
      <c r="A84" s="64">
        <v>45639</v>
      </c>
      <c r="B84" t="s">
        <v>366</v>
      </c>
      <c r="C84">
        <v>39</v>
      </c>
      <c r="D84">
        <v>10.265000000000001</v>
      </c>
      <c r="E84">
        <v>3.8</v>
      </c>
      <c r="F84">
        <v>39.006999999999998</v>
      </c>
      <c r="G84">
        <v>-6.9999999999978968E-3</v>
      </c>
      <c r="H84" t="s">
        <v>217</v>
      </c>
    </row>
    <row r="85" spans="1:8" x14ac:dyDescent="0.25">
      <c r="A85" s="64">
        <v>45639</v>
      </c>
      <c r="B85" t="s">
        <v>364</v>
      </c>
      <c r="C85">
        <v>39</v>
      </c>
      <c r="D85">
        <v>10.266</v>
      </c>
      <c r="E85">
        <v>3.8</v>
      </c>
      <c r="F85">
        <v>39.010799999999996</v>
      </c>
      <c r="G85">
        <v>-1.0799999999996146E-2</v>
      </c>
      <c r="H85" t="s">
        <v>224</v>
      </c>
    </row>
    <row r="86" spans="1:8" x14ac:dyDescent="0.25">
      <c r="A86" s="64">
        <v>45639</v>
      </c>
      <c r="B86" t="s">
        <v>367</v>
      </c>
      <c r="C86">
        <v>37.520000000000003</v>
      </c>
      <c r="D86">
        <v>9.6489999999999991</v>
      </c>
      <c r="E86">
        <v>3.89</v>
      </c>
      <c r="F86">
        <v>37.534610000000001</v>
      </c>
      <c r="G86">
        <v>-1.4609999999997569E-2</v>
      </c>
      <c r="H86" t="s">
        <v>227</v>
      </c>
    </row>
    <row r="87" spans="1:8" x14ac:dyDescent="0.25">
      <c r="A87" s="64">
        <v>45639</v>
      </c>
      <c r="B87" t="s">
        <v>365</v>
      </c>
      <c r="C87">
        <v>1.93</v>
      </c>
      <c r="D87">
        <v>0.56799999999999995</v>
      </c>
      <c r="E87">
        <v>3.4</v>
      </c>
      <c r="F87">
        <v>1.9311999999999998</v>
      </c>
      <c r="G87">
        <v>-1.1999999999998678E-3</v>
      </c>
      <c r="H87" t="s">
        <v>214</v>
      </c>
    </row>
    <row r="88" spans="1:8" x14ac:dyDescent="0.25">
      <c r="A88" s="64">
        <v>45639</v>
      </c>
      <c r="B88" t="s">
        <v>113</v>
      </c>
      <c r="C88">
        <v>29</v>
      </c>
      <c r="D88">
        <v>7.51</v>
      </c>
      <c r="E88">
        <v>3.86</v>
      </c>
      <c r="F88">
        <v>28.988599999999998</v>
      </c>
      <c r="G88">
        <v>1.1400000000001853E-2</v>
      </c>
      <c r="H88" t="s">
        <v>112</v>
      </c>
    </row>
    <row r="89" spans="1:8" x14ac:dyDescent="0.25">
      <c r="A89" s="64">
        <v>45639</v>
      </c>
      <c r="B89" t="s">
        <v>362</v>
      </c>
      <c r="C89">
        <v>30</v>
      </c>
      <c r="D89">
        <v>8.11</v>
      </c>
      <c r="E89">
        <v>3.7</v>
      </c>
      <c r="F89">
        <v>30.006999999999998</v>
      </c>
      <c r="G89">
        <v>-6.9999999999978968E-3</v>
      </c>
      <c r="H89" t="s">
        <v>371</v>
      </c>
    </row>
    <row r="90" spans="1:8" x14ac:dyDescent="0.25">
      <c r="A90" s="64">
        <v>45640</v>
      </c>
      <c r="B90" t="s">
        <v>113</v>
      </c>
      <c r="C90">
        <v>29</v>
      </c>
      <c r="D90">
        <v>7.63</v>
      </c>
      <c r="E90">
        <v>3.8</v>
      </c>
      <c r="F90">
        <v>28.994</v>
      </c>
      <c r="G90">
        <v>6.0000000000002274E-3</v>
      </c>
      <c r="H90" t="s">
        <v>112</v>
      </c>
    </row>
    <row r="91" spans="1:8" x14ac:dyDescent="0.25">
      <c r="A91" s="64">
        <v>45640</v>
      </c>
      <c r="B91" t="s">
        <v>368</v>
      </c>
      <c r="C91">
        <v>39</v>
      </c>
      <c r="D91">
        <v>12.584</v>
      </c>
      <c r="E91">
        <v>3.1</v>
      </c>
      <c r="F91">
        <v>39.010399999999997</v>
      </c>
      <c r="G91">
        <v>-1.0399999999997078E-2</v>
      </c>
      <c r="H91" t="s">
        <v>208</v>
      </c>
    </row>
    <row r="92" spans="1:8" x14ac:dyDescent="0.25">
      <c r="A92" s="64">
        <v>45641</v>
      </c>
      <c r="B92" t="s">
        <v>365</v>
      </c>
      <c r="C92">
        <v>39</v>
      </c>
      <c r="D92">
        <v>10.266</v>
      </c>
      <c r="E92">
        <v>3.8</v>
      </c>
      <c r="F92">
        <v>39.010799999999996</v>
      </c>
      <c r="G92">
        <v>-1.0799999999996146E-2</v>
      </c>
      <c r="H92" t="s">
        <v>214</v>
      </c>
    </row>
    <row r="93" spans="1:8" x14ac:dyDescent="0.25">
      <c r="A93" s="64">
        <v>45641</v>
      </c>
      <c r="B93" t="s">
        <v>368</v>
      </c>
      <c r="C93">
        <v>31.13</v>
      </c>
      <c r="D93">
        <v>10.045999999999999</v>
      </c>
      <c r="E93">
        <v>3.1</v>
      </c>
      <c r="F93">
        <v>31.142599999999998</v>
      </c>
      <c r="G93">
        <v>-1.2599999999999056E-2</v>
      </c>
      <c r="H93" t="s">
        <v>208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03AE1-54E2-45EB-B0C2-6B959EAC514A}">
  <sheetPr codeName="Sheet32"/>
  <dimension ref="A1:J15"/>
  <sheetViews>
    <sheetView showGridLines="0" workbookViewId="0">
      <selection activeCell="F30" sqref="F30"/>
    </sheetView>
  </sheetViews>
  <sheetFormatPr defaultRowHeight="15" x14ac:dyDescent="0.25"/>
  <cols>
    <col min="1" max="1" width="10.7109375" bestFit="1" customWidth="1"/>
    <col min="2" max="2" width="18.42578125" bestFit="1" customWidth="1"/>
    <col min="3" max="3" width="10.42578125" bestFit="1" customWidth="1"/>
    <col min="4" max="4" width="10" bestFit="1" customWidth="1"/>
    <col min="5" max="5" width="17" bestFit="1" customWidth="1"/>
    <col min="6" max="6" width="20.42578125" bestFit="1" customWidth="1"/>
    <col min="7" max="7" width="7.7109375" bestFit="1" customWidth="1"/>
    <col min="8" max="8" width="17.5703125" bestFit="1" customWidth="1"/>
  </cols>
  <sheetData>
    <row r="1" spans="1:10" x14ac:dyDescent="0.25">
      <c r="A1" t="s">
        <v>1</v>
      </c>
      <c r="B1" t="s">
        <v>306</v>
      </c>
      <c r="C1" t="s">
        <v>2</v>
      </c>
      <c r="D1" t="s">
        <v>307</v>
      </c>
      <c r="E1" t="s">
        <v>308</v>
      </c>
      <c r="F1" t="s">
        <v>309</v>
      </c>
      <c r="G1" t="s">
        <v>310</v>
      </c>
      <c r="H1" t="s">
        <v>102</v>
      </c>
    </row>
    <row r="2" spans="1:10" x14ac:dyDescent="0.25">
      <c r="A2" s="64">
        <v>45628</v>
      </c>
      <c r="B2" t="s">
        <v>51</v>
      </c>
      <c r="C2">
        <v>28.75</v>
      </c>
      <c r="D2">
        <v>6.72</v>
      </c>
      <c r="E2">
        <v>4.28</v>
      </c>
      <c r="F2">
        <v>28.761600000000001</v>
      </c>
      <c r="G2">
        <v>-1.1600000000001387E-2</v>
      </c>
      <c r="J2" s="219" t="s">
        <v>311</v>
      </c>
    </row>
    <row r="3" spans="1:10" x14ac:dyDescent="0.25">
      <c r="A3" s="64">
        <v>45629</v>
      </c>
      <c r="B3" t="s">
        <v>116</v>
      </c>
      <c r="C3">
        <v>21.02</v>
      </c>
      <c r="D3">
        <v>5.59</v>
      </c>
      <c r="E3">
        <v>3.76</v>
      </c>
      <c r="F3">
        <v>21.0184</v>
      </c>
      <c r="G3">
        <v>1.5999999999998238E-3</v>
      </c>
      <c r="J3" s="219"/>
    </row>
    <row r="4" spans="1:10" x14ac:dyDescent="0.25">
      <c r="A4" s="64">
        <v>45631</v>
      </c>
      <c r="B4" t="s">
        <v>116</v>
      </c>
      <c r="C4">
        <v>23.58</v>
      </c>
      <c r="D4">
        <v>6.27</v>
      </c>
      <c r="E4">
        <v>3.76</v>
      </c>
      <c r="F4">
        <v>23.575199999999999</v>
      </c>
      <c r="G4">
        <v>4.7999999999994714E-3</v>
      </c>
      <c r="J4" s="219"/>
    </row>
    <row r="5" spans="1:10" x14ac:dyDescent="0.25">
      <c r="A5" s="64">
        <v>45632</v>
      </c>
      <c r="B5" t="s">
        <v>267</v>
      </c>
      <c r="C5">
        <v>39</v>
      </c>
      <c r="D5">
        <v>10.1</v>
      </c>
      <c r="E5">
        <v>3.86</v>
      </c>
      <c r="F5">
        <v>38.985999999999997</v>
      </c>
      <c r="G5">
        <v>1.4000000000002899E-2</v>
      </c>
      <c r="J5" s="219"/>
    </row>
    <row r="6" spans="1:10" x14ac:dyDescent="0.25">
      <c r="A6" s="64">
        <v>45633</v>
      </c>
      <c r="B6" t="s">
        <v>51</v>
      </c>
      <c r="C6">
        <v>39</v>
      </c>
      <c r="D6">
        <v>10.130000000000001</v>
      </c>
      <c r="E6">
        <v>3.85</v>
      </c>
      <c r="F6">
        <v>39.000500000000002</v>
      </c>
      <c r="G6">
        <v>-5.0000000000238742E-4</v>
      </c>
      <c r="J6" s="219"/>
    </row>
    <row r="7" spans="1:10" x14ac:dyDescent="0.25">
      <c r="A7" s="64">
        <v>45634</v>
      </c>
      <c r="B7" t="s">
        <v>51</v>
      </c>
      <c r="C7">
        <v>39</v>
      </c>
      <c r="D7">
        <v>10.002000000000001</v>
      </c>
      <c r="E7">
        <v>3.9</v>
      </c>
      <c r="F7">
        <v>39.007800000000003</v>
      </c>
      <c r="G7">
        <v>-7.8000000000031378E-3</v>
      </c>
      <c r="J7" s="219"/>
    </row>
    <row r="8" spans="1:10" x14ac:dyDescent="0.25">
      <c r="A8" s="64">
        <v>45634</v>
      </c>
      <c r="B8" t="s">
        <v>267</v>
      </c>
      <c r="C8">
        <v>34</v>
      </c>
      <c r="D8">
        <v>8.81</v>
      </c>
      <c r="E8">
        <v>3.86</v>
      </c>
      <c r="F8">
        <v>34.006599999999999</v>
      </c>
      <c r="G8">
        <v>-6.599999999998829E-3</v>
      </c>
      <c r="J8" s="219"/>
    </row>
    <row r="9" spans="1:10" x14ac:dyDescent="0.25">
      <c r="A9" s="64">
        <v>45635</v>
      </c>
      <c r="B9" t="s">
        <v>51</v>
      </c>
      <c r="C9">
        <v>34</v>
      </c>
      <c r="D9">
        <v>8.83</v>
      </c>
      <c r="E9">
        <v>3.85</v>
      </c>
      <c r="F9">
        <v>33.9955</v>
      </c>
      <c r="G9">
        <v>4.5000000000001705E-3</v>
      </c>
      <c r="J9" s="219"/>
    </row>
    <row r="10" spans="1:10" x14ac:dyDescent="0.25">
      <c r="A10" s="64">
        <v>45637</v>
      </c>
      <c r="B10" t="s">
        <v>116</v>
      </c>
      <c r="C10">
        <v>23.36</v>
      </c>
      <c r="D10">
        <v>6.38</v>
      </c>
      <c r="E10">
        <v>3.66</v>
      </c>
      <c r="F10">
        <v>23.3508</v>
      </c>
      <c r="G10">
        <v>9.1999999999998749E-3</v>
      </c>
    </row>
    <row r="11" spans="1:10" x14ac:dyDescent="0.25">
      <c r="A11" s="64">
        <v>45638</v>
      </c>
      <c r="B11" t="s">
        <v>361</v>
      </c>
      <c r="C11">
        <v>29</v>
      </c>
      <c r="D11">
        <v>8.0500000000000007</v>
      </c>
      <c r="E11">
        <v>3.6</v>
      </c>
      <c r="F11">
        <v>28.980000000000004</v>
      </c>
      <c r="G11">
        <v>1.9999999999996021E-2</v>
      </c>
    </row>
    <row r="12" spans="1:10" x14ac:dyDescent="0.25">
      <c r="A12" s="64">
        <v>45638</v>
      </c>
      <c r="B12" t="s">
        <v>116</v>
      </c>
      <c r="C12">
        <v>21.01</v>
      </c>
      <c r="D12">
        <v>5.74</v>
      </c>
      <c r="E12">
        <v>3.66</v>
      </c>
      <c r="F12">
        <v>21.008400000000002</v>
      </c>
      <c r="G12">
        <v>1.5999999999998238E-3</v>
      </c>
    </row>
    <row r="13" spans="1:10" x14ac:dyDescent="0.25">
      <c r="A13" s="64">
        <v>45639</v>
      </c>
      <c r="B13" t="s">
        <v>116</v>
      </c>
      <c r="C13">
        <v>29</v>
      </c>
      <c r="D13">
        <v>7.92</v>
      </c>
      <c r="E13">
        <v>3.66</v>
      </c>
      <c r="F13">
        <v>28.987200000000001</v>
      </c>
      <c r="G13">
        <v>1.279999999999859E-2</v>
      </c>
    </row>
    <row r="14" spans="1:10" x14ac:dyDescent="0.25">
      <c r="A14" s="64">
        <v>45641</v>
      </c>
      <c r="B14" t="s">
        <v>267</v>
      </c>
      <c r="C14">
        <v>39</v>
      </c>
      <c r="D14">
        <v>10.1</v>
      </c>
      <c r="E14">
        <v>3.86</v>
      </c>
      <c r="F14">
        <v>38.985999999999997</v>
      </c>
      <c r="G14">
        <v>1.4000000000002899E-2</v>
      </c>
    </row>
    <row r="15" spans="1:10" x14ac:dyDescent="0.25">
      <c r="A15" s="64">
        <v>45641</v>
      </c>
      <c r="B15" t="s">
        <v>51</v>
      </c>
      <c r="C15">
        <v>39</v>
      </c>
      <c r="D15">
        <v>9.33</v>
      </c>
      <c r="E15">
        <v>4.18</v>
      </c>
      <c r="F15">
        <v>38.999399999999994</v>
      </c>
      <c r="G15">
        <v>6.0000000000570708E-4</v>
      </c>
    </row>
  </sheetData>
  <mergeCells count="1">
    <mergeCell ref="J2:J9"/>
  </mergeCells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3E70A-B54D-480E-B4AB-EAA663391480}">
  <sheetPr codeName="Sheet31"/>
  <dimension ref="A1:I106"/>
  <sheetViews>
    <sheetView workbookViewId="0">
      <selection sqref="A1:I132"/>
    </sheetView>
  </sheetViews>
  <sheetFormatPr defaultRowHeight="15" x14ac:dyDescent="0.25"/>
  <cols>
    <col min="1" max="1" width="10.7109375" bestFit="1" customWidth="1"/>
    <col min="2" max="2" width="31.28515625" bestFit="1" customWidth="1"/>
    <col min="3" max="3" width="25.28515625" bestFit="1" customWidth="1"/>
    <col min="4" max="4" width="11.28515625" bestFit="1" customWidth="1"/>
    <col min="5" max="5" width="13.140625" bestFit="1" customWidth="1"/>
    <col min="6" max="6" width="11.5703125" bestFit="1" customWidth="1"/>
    <col min="7" max="7" width="40.28515625" bestFit="1" customWidth="1"/>
    <col min="8" max="8" width="21.42578125" bestFit="1" customWidth="1"/>
    <col min="9" max="9" width="9.5703125" bestFit="1" customWidth="1"/>
  </cols>
  <sheetData>
    <row r="1" spans="1:9" x14ac:dyDescent="0.25">
      <c r="A1" t="s">
        <v>1</v>
      </c>
      <c r="B1" t="s">
        <v>102</v>
      </c>
      <c r="C1" t="s">
        <v>103</v>
      </c>
      <c r="D1" t="s">
        <v>228</v>
      </c>
      <c r="E1" t="s">
        <v>312</v>
      </c>
      <c r="F1" t="s">
        <v>313</v>
      </c>
      <c r="G1" t="s">
        <v>314</v>
      </c>
      <c r="H1" t="s">
        <v>315</v>
      </c>
      <c r="I1" t="s">
        <v>11</v>
      </c>
    </row>
    <row r="2" spans="1:9" x14ac:dyDescent="0.25">
      <c r="A2" s="64">
        <v>45628</v>
      </c>
      <c r="B2" t="s">
        <v>227</v>
      </c>
      <c r="C2" t="s">
        <v>226</v>
      </c>
      <c r="D2" t="s">
        <v>225</v>
      </c>
      <c r="E2">
        <v>0</v>
      </c>
      <c r="F2">
        <v>3.7120000000000002</v>
      </c>
      <c r="G2">
        <v>0</v>
      </c>
      <c r="H2">
        <v>0</v>
      </c>
      <c r="I2" t="s">
        <v>14</v>
      </c>
    </row>
    <row r="3" spans="1:9" x14ac:dyDescent="0.25">
      <c r="A3" s="64">
        <v>45628</v>
      </c>
      <c r="B3" t="s">
        <v>214</v>
      </c>
      <c r="C3" t="s">
        <v>213</v>
      </c>
      <c r="D3" t="s">
        <v>212</v>
      </c>
      <c r="E3">
        <v>116.9</v>
      </c>
      <c r="F3">
        <v>3.7120000000000002</v>
      </c>
      <c r="G3">
        <v>6.1526315789473687</v>
      </c>
      <c r="H3">
        <v>22.8386</v>
      </c>
      <c r="I3" t="s">
        <v>14</v>
      </c>
    </row>
    <row r="4" spans="1:9" x14ac:dyDescent="0.25">
      <c r="A4" s="64">
        <v>45628</v>
      </c>
      <c r="B4" t="s">
        <v>372</v>
      </c>
      <c r="C4" t="s">
        <v>358</v>
      </c>
      <c r="D4" t="s">
        <v>269</v>
      </c>
      <c r="E4">
        <v>115.7</v>
      </c>
      <c r="F4">
        <v>3.7120000000000002</v>
      </c>
      <c r="G4">
        <v>6.0894736842105264</v>
      </c>
      <c r="H4">
        <v>22.604099999999999</v>
      </c>
      <c r="I4" t="s">
        <v>14</v>
      </c>
    </row>
    <row r="5" spans="1:9" x14ac:dyDescent="0.25">
      <c r="A5" s="64">
        <v>45628</v>
      </c>
      <c r="B5" t="s">
        <v>112</v>
      </c>
      <c r="C5" t="s">
        <v>205</v>
      </c>
      <c r="D5" t="s">
        <v>204</v>
      </c>
      <c r="E5">
        <v>75.7</v>
      </c>
      <c r="F5">
        <v>3.7120000000000002</v>
      </c>
      <c r="G5">
        <v>3.9842105263157896</v>
      </c>
      <c r="H5">
        <v>14.789400000000001</v>
      </c>
      <c r="I5" t="s">
        <v>14</v>
      </c>
    </row>
    <row r="6" spans="1:9" x14ac:dyDescent="0.25">
      <c r="A6" s="64">
        <v>45628</v>
      </c>
      <c r="B6" t="s">
        <v>217</v>
      </c>
      <c r="C6" t="s">
        <v>216</v>
      </c>
      <c r="D6" t="s">
        <v>215</v>
      </c>
      <c r="E6">
        <v>99.6</v>
      </c>
      <c r="F6">
        <v>3.7120000000000002</v>
      </c>
      <c r="G6">
        <v>5.2421052631578942</v>
      </c>
      <c r="H6">
        <v>19.4587</v>
      </c>
      <c r="I6" t="s">
        <v>14</v>
      </c>
    </row>
    <row r="7" spans="1:9" x14ac:dyDescent="0.25">
      <c r="A7" s="64">
        <v>45628</v>
      </c>
      <c r="B7" t="s">
        <v>224</v>
      </c>
      <c r="C7" t="s">
        <v>223</v>
      </c>
      <c r="D7" t="s">
        <v>222</v>
      </c>
      <c r="E7">
        <v>126.7</v>
      </c>
      <c r="F7">
        <v>3.7120000000000002</v>
      </c>
      <c r="G7">
        <v>6.6684210526315795</v>
      </c>
      <c r="H7">
        <v>24.7532</v>
      </c>
      <c r="I7" t="s">
        <v>14</v>
      </c>
    </row>
    <row r="8" spans="1:9" x14ac:dyDescent="0.25">
      <c r="A8" s="64">
        <v>45628</v>
      </c>
      <c r="B8" t="s">
        <v>211</v>
      </c>
      <c r="C8" t="s">
        <v>210</v>
      </c>
      <c r="D8" t="s">
        <v>209</v>
      </c>
      <c r="E8">
        <v>109.4</v>
      </c>
      <c r="F8">
        <v>3.7120000000000002</v>
      </c>
      <c r="G8">
        <v>5.7578947368421058</v>
      </c>
      <c r="H8">
        <v>21.3733</v>
      </c>
      <c r="I8" t="s">
        <v>14</v>
      </c>
    </row>
    <row r="9" spans="1:9" x14ac:dyDescent="0.25">
      <c r="A9" s="64">
        <v>45628</v>
      </c>
      <c r="B9" t="s">
        <v>360</v>
      </c>
      <c r="C9" t="s">
        <v>359</v>
      </c>
      <c r="D9" t="s">
        <v>266</v>
      </c>
      <c r="E9">
        <v>0</v>
      </c>
      <c r="F9">
        <v>3.7120000000000002</v>
      </c>
      <c r="G9">
        <v>0</v>
      </c>
      <c r="H9">
        <v>0</v>
      </c>
      <c r="I9" t="s">
        <v>14</v>
      </c>
    </row>
    <row r="10" spans="1:9" x14ac:dyDescent="0.25">
      <c r="A10" s="64">
        <v>45628</v>
      </c>
      <c r="B10" t="s">
        <v>371</v>
      </c>
      <c r="C10" t="s">
        <v>219</v>
      </c>
      <c r="D10" t="s">
        <v>218</v>
      </c>
      <c r="E10">
        <v>123.3</v>
      </c>
      <c r="F10">
        <v>3.7120000000000002</v>
      </c>
      <c r="G10">
        <v>6.4894736842105258</v>
      </c>
      <c r="H10">
        <v>24.088899999999999</v>
      </c>
      <c r="I10" t="s">
        <v>14</v>
      </c>
    </row>
    <row r="11" spans="1:9" x14ac:dyDescent="0.25">
      <c r="A11" s="64">
        <v>45628</v>
      </c>
      <c r="B11" t="s">
        <v>208</v>
      </c>
      <c r="C11" t="s">
        <v>207</v>
      </c>
      <c r="D11" t="s">
        <v>206</v>
      </c>
      <c r="E11">
        <v>0</v>
      </c>
      <c r="F11">
        <v>3.7120000000000002</v>
      </c>
      <c r="G11">
        <v>0</v>
      </c>
      <c r="H11">
        <v>0</v>
      </c>
      <c r="I11" t="s">
        <v>14</v>
      </c>
    </row>
    <row r="12" spans="1:9" x14ac:dyDescent="0.25">
      <c r="A12" s="64">
        <v>45629</v>
      </c>
      <c r="B12" t="s">
        <v>227</v>
      </c>
      <c r="C12" t="s">
        <v>226</v>
      </c>
      <c r="D12" t="s">
        <v>225</v>
      </c>
      <c r="E12">
        <v>113.5</v>
      </c>
      <c r="F12">
        <v>3.7120000000000002</v>
      </c>
      <c r="G12">
        <v>5.9736842105263159</v>
      </c>
      <c r="H12">
        <v>22.174299999999999</v>
      </c>
      <c r="I12" t="s">
        <v>14</v>
      </c>
    </row>
    <row r="13" spans="1:9" x14ac:dyDescent="0.25">
      <c r="A13" s="64">
        <v>45629</v>
      </c>
      <c r="B13" t="s">
        <v>214</v>
      </c>
      <c r="C13" t="s">
        <v>213</v>
      </c>
      <c r="D13" t="s">
        <v>212</v>
      </c>
      <c r="E13">
        <v>126.4</v>
      </c>
      <c r="F13">
        <v>3.7120000000000002</v>
      </c>
      <c r="G13">
        <v>6.6526315789473687</v>
      </c>
      <c r="H13">
        <v>24.694600000000001</v>
      </c>
      <c r="I13" t="s">
        <v>14</v>
      </c>
    </row>
    <row r="14" spans="1:9" x14ac:dyDescent="0.25">
      <c r="A14" s="64">
        <v>45629</v>
      </c>
      <c r="B14" t="s">
        <v>372</v>
      </c>
      <c r="C14" t="s">
        <v>358</v>
      </c>
      <c r="D14" t="s">
        <v>269</v>
      </c>
      <c r="E14">
        <v>106</v>
      </c>
      <c r="F14">
        <v>3.7120000000000002</v>
      </c>
      <c r="G14">
        <v>5.5789473684210522</v>
      </c>
      <c r="H14">
        <v>20.709099999999999</v>
      </c>
      <c r="I14" t="s">
        <v>14</v>
      </c>
    </row>
    <row r="15" spans="1:9" x14ac:dyDescent="0.25">
      <c r="A15" s="64">
        <v>45629</v>
      </c>
      <c r="B15" t="s">
        <v>112</v>
      </c>
      <c r="C15" t="s">
        <v>205</v>
      </c>
      <c r="D15" t="s">
        <v>204</v>
      </c>
      <c r="E15">
        <v>94.8</v>
      </c>
      <c r="F15">
        <v>3.7120000000000002</v>
      </c>
      <c r="G15">
        <v>4.9894736842105258</v>
      </c>
      <c r="H15">
        <v>18.520900000000001</v>
      </c>
      <c r="I15" t="s">
        <v>14</v>
      </c>
    </row>
    <row r="16" spans="1:9" x14ac:dyDescent="0.25">
      <c r="A16" s="64">
        <v>45629</v>
      </c>
      <c r="B16" t="s">
        <v>217</v>
      </c>
      <c r="C16" t="s">
        <v>216</v>
      </c>
      <c r="D16" t="s">
        <v>215</v>
      </c>
      <c r="E16">
        <v>127.5</v>
      </c>
      <c r="F16">
        <v>3.7120000000000002</v>
      </c>
      <c r="G16">
        <v>6.7105263157894735</v>
      </c>
      <c r="H16">
        <v>24.909500000000001</v>
      </c>
      <c r="I16" t="s">
        <v>14</v>
      </c>
    </row>
    <row r="17" spans="1:9" x14ac:dyDescent="0.25">
      <c r="A17" s="64">
        <v>45629</v>
      </c>
      <c r="B17" t="s">
        <v>224</v>
      </c>
      <c r="C17" t="s">
        <v>223</v>
      </c>
      <c r="D17" t="s">
        <v>222</v>
      </c>
      <c r="E17">
        <v>144.19999999999999</v>
      </c>
      <c r="F17">
        <v>3.7120000000000002</v>
      </c>
      <c r="G17">
        <v>7.5894736842105255</v>
      </c>
      <c r="H17">
        <v>28.1721</v>
      </c>
      <c r="I17" t="s">
        <v>14</v>
      </c>
    </row>
    <row r="18" spans="1:9" x14ac:dyDescent="0.25">
      <c r="A18" s="64">
        <v>45629</v>
      </c>
      <c r="B18" t="s">
        <v>211</v>
      </c>
      <c r="C18" t="s">
        <v>210</v>
      </c>
      <c r="D18" t="s">
        <v>209</v>
      </c>
      <c r="E18">
        <v>112.9</v>
      </c>
      <c r="F18">
        <v>3.7120000000000002</v>
      </c>
      <c r="G18">
        <v>5.9421052631578952</v>
      </c>
      <c r="H18">
        <v>22.057099999999998</v>
      </c>
      <c r="I18" t="s">
        <v>14</v>
      </c>
    </row>
    <row r="19" spans="1:9" x14ac:dyDescent="0.25">
      <c r="A19" s="64">
        <v>45629</v>
      </c>
      <c r="B19" t="s">
        <v>360</v>
      </c>
      <c r="C19" t="s">
        <v>359</v>
      </c>
      <c r="D19" t="s">
        <v>266</v>
      </c>
      <c r="E19">
        <v>0</v>
      </c>
      <c r="F19">
        <v>3.7120000000000002</v>
      </c>
      <c r="G19">
        <v>0</v>
      </c>
      <c r="H19">
        <v>0</v>
      </c>
      <c r="I19" t="s">
        <v>14</v>
      </c>
    </row>
    <row r="20" spans="1:9" x14ac:dyDescent="0.25">
      <c r="A20" s="64">
        <v>45629</v>
      </c>
      <c r="B20" t="s">
        <v>371</v>
      </c>
      <c r="C20" t="s">
        <v>219</v>
      </c>
      <c r="D20" t="s">
        <v>218</v>
      </c>
      <c r="E20">
        <v>123.8</v>
      </c>
      <c r="F20">
        <v>3.7120000000000002</v>
      </c>
      <c r="G20">
        <v>6.5157894736842108</v>
      </c>
      <c r="H20">
        <v>24.186599999999999</v>
      </c>
      <c r="I20" t="s">
        <v>14</v>
      </c>
    </row>
    <row r="21" spans="1:9" x14ac:dyDescent="0.25">
      <c r="A21" s="64">
        <v>45629</v>
      </c>
      <c r="B21" t="s">
        <v>208</v>
      </c>
      <c r="C21" t="s">
        <v>207</v>
      </c>
      <c r="D21" t="s">
        <v>206</v>
      </c>
      <c r="E21">
        <v>113.4</v>
      </c>
      <c r="F21">
        <v>3.7120000000000002</v>
      </c>
      <c r="G21">
        <v>5.9684210526315793</v>
      </c>
      <c r="H21">
        <v>22.154800000000002</v>
      </c>
      <c r="I21" t="s">
        <v>14</v>
      </c>
    </row>
    <row r="22" spans="1:9" x14ac:dyDescent="0.25">
      <c r="A22" s="64">
        <v>45630</v>
      </c>
      <c r="B22" t="s">
        <v>227</v>
      </c>
      <c r="C22" t="s">
        <v>226</v>
      </c>
      <c r="D22" t="s">
        <v>225</v>
      </c>
      <c r="E22">
        <v>118.8</v>
      </c>
      <c r="F22">
        <v>3.7120000000000002</v>
      </c>
      <c r="G22">
        <v>6.2526315789473683</v>
      </c>
      <c r="H22">
        <v>23.209800000000001</v>
      </c>
      <c r="I22" t="s">
        <v>14</v>
      </c>
    </row>
    <row r="23" spans="1:9" x14ac:dyDescent="0.25">
      <c r="A23" s="64">
        <v>45630</v>
      </c>
      <c r="B23" t="s">
        <v>214</v>
      </c>
      <c r="C23" t="s">
        <v>213</v>
      </c>
      <c r="D23" t="s">
        <v>212</v>
      </c>
      <c r="E23">
        <v>134.4</v>
      </c>
      <c r="F23">
        <v>3.7120000000000002</v>
      </c>
      <c r="G23">
        <v>7.0736842105263165</v>
      </c>
      <c r="H23">
        <v>26.2575</v>
      </c>
      <c r="I23" t="s">
        <v>14</v>
      </c>
    </row>
    <row r="24" spans="1:9" x14ac:dyDescent="0.25">
      <c r="A24" s="64">
        <v>45630</v>
      </c>
      <c r="B24" t="s">
        <v>372</v>
      </c>
      <c r="C24" t="s">
        <v>358</v>
      </c>
      <c r="D24" t="s">
        <v>269</v>
      </c>
      <c r="E24">
        <v>118.7</v>
      </c>
      <c r="F24">
        <v>3.7120000000000002</v>
      </c>
      <c r="G24">
        <v>6.2473684210526317</v>
      </c>
      <c r="H24">
        <v>23.190200000000001</v>
      </c>
      <c r="I24" t="s">
        <v>14</v>
      </c>
    </row>
    <row r="25" spans="1:9" x14ac:dyDescent="0.25">
      <c r="A25" s="64">
        <v>45630</v>
      </c>
      <c r="B25" t="s">
        <v>112</v>
      </c>
      <c r="C25" t="s">
        <v>205</v>
      </c>
      <c r="D25" t="s">
        <v>204</v>
      </c>
      <c r="E25">
        <v>100.9</v>
      </c>
      <c r="F25">
        <v>3.7120000000000002</v>
      </c>
      <c r="G25">
        <v>5.310526315789474</v>
      </c>
      <c r="H25">
        <v>19.712700000000002</v>
      </c>
      <c r="I25" t="s">
        <v>14</v>
      </c>
    </row>
    <row r="26" spans="1:9" x14ac:dyDescent="0.25">
      <c r="A26" s="64">
        <v>45630</v>
      </c>
      <c r="B26" t="s">
        <v>217</v>
      </c>
      <c r="C26" t="s">
        <v>216</v>
      </c>
      <c r="D26" t="s">
        <v>215</v>
      </c>
      <c r="E26">
        <v>102</v>
      </c>
      <c r="F26">
        <v>3.7120000000000002</v>
      </c>
      <c r="G26">
        <v>5.3684210526315788</v>
      </c>
      <c r="H26">
        <v>19.927600000000002</v>
      </c>
      <c r="I26" t="s">
        <v>14</v>
      </c>
    </row>
    <row r="27" spans="1:9" x14ac:dyDescent="0.25">
      <c r="A27" s="64">
        <v>45630</v>
      </c>
      <c r="B27" t="s">
        <v>224</v>
      </c>
      <c r="C27" t="s">
        <v>223</v>
      </c>
      <c r="D27" t="s">
        <v>222</v>
      </c>
      <c r="E27">
        <v>112.7</v>
      </c>
      <c r="F27">
        <v>3.7120000000000002</v>
      </c>
      <c r="G27">
        <v>5.9315789473684211</v>
      </c>
      <c r="H27">
        <v>22.018000000000001</v>
      </c>
      <c r="I27" t="s">
        <v>14</v>
      </c>
    </row>
    <row r="28" spans="1:9" x14ac:dyDescent="0.25">
      <c r="A28" s="64">
        <v>45630</v>
      </c>
      <c r="B28" t="s">
        <v>211</v>
      </c>
      <c r="C28" t="s">
        <v>210</v>
      </c>
      <c r="D28" t="s">
        <v>209</v>
      </c>
      <c r="E28">
        <v>116.9</v>
      </c>
      <c r="F28">
        <v>3.7120000000000002</v>
      </c>
      <c r="G28">
        <v>6.1526315789473687</v>
      </c>
      <c r="H28">
        <v>22.8386</v>
      </c>
      <c r="I28" t="s">
        <v>14</v>
      </c>
    </row>
    <row r="29" spans="1:9" x14ac:dyDescent="0.25">
      <c r="A29" s="64">
        <v>45630</v>
      </c>
      <c r="B29" t="s">
        <v>360</v>
      </c>
      <c r="C29" t="s">
        <v>359</v>
      </c>
      <c r="D29" t="s">
        <v>266</v>
      </c>
      <c r="E29">
        <v>0</v>
      </c>
      <c r="F29">
        <v>3.7120000000000002</v>
      </c>
      <c r="G29">
        <v>0</v>
      </c>
      <c r="H29">
        <v>0</v>
      </c>
      <c r="I29" t="s">
        <v>14</v>
      </c>
    </row>
    <row r="30" spans="1:9" x14ac:dyDescent="0.25">
      <c r="A30" s="64">
        <v>45630</v>
      </c>
      <c r="B30" t="s">
        <v>371</v>
      </c>
      <c r="C30" t="s">
        <v>219</v>
      </c>
      <c r="D30" t="s">
        <v>218</v>
      </c>
      <c r="E30">
        <v>121.7</v>
      </c>
      <c r="F30">
        <v>3.7120000000000002</v>
      </c>
      <c r="G30">
        <v>6.405263157894737</v>
      </c>
      <c r="H30">
        <v>23.776299999999999</v>
      </c>
      <c r="I30" t="s">
        <v>14</v>
      </c>
    </row>
    <row r="31" spans="1:9" x14ac:dyDescent="0.25">
      <c r="A31" s="64">
        <v>45630</v>
      </c>
      <c r="B31" t="s">
        <v>208</v>
      </c>
      <c r="C31" t="s">
        <v>207</v>
      </c>
      <c r="D31" t="s">
        <v>206</v>
      </c>
      <c r="E31">
        <v>98.2</v>
      </c>
      <c r="F31">
        <v>3.7120000000000002</v>
      </c>
      <c r="G31">
        <v>5.1684210526315795</v>
      </c>
      <c r="H31">
        <v>19.185199999999998</v>
      </c>
      <c r="I31" t="s">
        <v>14</v>
      </c>
    </row>
    <row r="32" spans="1:9" x14ac:dyDescent="0.25">
      <c r="A32" s="64">
        <v>45631</v>
      </c>
      <c r="B32" t="s">
        <v>227</v>
      </c>
      <c r="C32" t="s">
        <v>226</v>
      </c>
      <c r="D32" t="s">
        <v>225</v>
      </c>
      <c r="E32">
        <v>126.9</v>
      </c>
      <c r="F32">
        <v>3.7120000000000002</v>
      </c>
      <c r="G32">
        <v>6.6789473684210527</v>
      </c>
      <c r="H32">
        <v>24.792300000000001</v>
      </c>
      <c r="I32" t="s">
        <v>14</v>
      </c>
    </row>
    <row r="33" spans="1:9" x14ac:dyDescent="0.25">
      <c r="A33" s="64">
        <v>45631</v>
      </c>
      <c r="B33" t="s">
        <v>214</v>
      </c>
      <c r="C33" t="s">
        <v>213</v>
      </c>
      <c r="D33" t="s">
        <v>212</v>
      </c>
      <c r="E33">
        <v>166.7</v>
      </c>
      <c r="F33">
        <v>3.7120000000000002</v>
      </c>
      <c r="G33">
        <v>8.7736842105263158</v>
      </c>
      <c r="H33">
        <v>32.567900000000002</v>
      </c>
      <c r="I33" t="s">
        <v>14</v>
      </c>
    </row>
    <row r="34" spans="1:9" x14ac:dyDescent="0.25">
      <c r="A34" s="64">
        <v>45631</v>
      </c>
      <c r="B34" t="s">
        <v>372</v>
      </c>
      <c r="C34" t="s">
        <v>358</v>
      </c>
      <c r="D34" t="s">
        <v>269</v>
      </c>
      <c r="E34">
        <v>129.6</v>
      </c>
      <c r="F34">
        <v>3.7120000000000002</v>
      </c>
      <c r="G34">
        <v>6.8210526315789473</v>
      </c>
      <c r="H34">
        <v>25.319700000000001</v>
      </c>
      <c r="I34" t="s">
        <v>14</v>
      </c>
    </row>
    <row r="35" spans="1:9" x14ac:dyDescent="0.25">
      <c r="A35" s="64">
        <v>45631</v>
      </c>
      <c r="B35" t="s">
        <v>112</v>
      </c>
      <c r="C35" t="s">
        <v>205</v>
      </c>
      <c r="D35" t="s">
        <v>204</v>
      </c>
      <c r="E35">
        <v>122.1</v>
      </c>
      <c r="F35">
        <v>3.7120000000000002</v>
      </c>
      <c r="G35">
        <v>6.4263157894736835</v>
      </c>
      <c r="H35">
        <v>23.854500000000002</v>
      </c>
      <c r="I35" t="s">
        <v>14</v>
      </c>
    </row>
    <row r="36" spans="1:9" x14ac:dyDescent="0.25">
      <c r="A36" s="64">
        <v>45631</v>
      </c>
      <c r="B36" t="s">
        <v>217</v>
      </c>
      <c r="C36" t="s">
        <v>216</v>
      </c>
      <c r="D36" t="s">
        <v>215</v>
      </c>
      <c r="E36">
        <v>128</v>
      </c>
      <c r="F36">
        <v>3.7120000000000002</v>
      </c>
      <c r="G36">
        <v>6.7368421052631575</v>
      </c>
      <c r="H36">
        <v>25.007200000000001</v>
      </c>
      <c r="I36" t="s">
        <v>14</v>
      </c>
    </row>
    <row r="37" spans="1:9" x14ac:dyDescent="0.25">
      <c r="A37" s="64">
        <v>45631</v>
      </c>
      <c r="B37" t="s">
        <v>224</v>
      </c>
      <c r="C37" t="s">
        <v>223</v>
      </c>
      <c r="D37" t="s">
        <v>222</v>
      </c>
      <c r="E37">
        <v>131.80000000000001</v>
      </c>
      <c r="F37">
        <v>3.7120000000000002</v>
      </c>
      <c r="G37">
        <v>6.9368421052631586</v>
      </c>
      <c r="H37">
        <v>25.749600000000001</v>
      </c>
      <c r="I37" t="s">
        <v>14</v>
      </c>
    </row>
    <row r="38" spans="1:9" x14ac:dyDescent="0.25">
      <c r="A38" s="64">
        <v>45631</v>
      </c>
      <c r="B38" t="s">
        <v>211</v>
      </c>
      <c r="C38" t="s">
        <v>210</v>
      </c>
      <c r="D38" t="s">
        <v>209</v>
      </c>
      <c r="E38">
        <v>15.8</v>
      </c>
      <c r="F38">
        <v>3.7120000000000002</v>
      </c>
      <c r="G38">
        <v>0.83157894736842108</v>
      </c>
      <c r="H38">
        <v>3.0868000000000002</v>
      </c>
      <c r="I38" t="s">
        <v>14</v>
      </c>
    </row>
    <row r="39" spans="1:9" x14ac:dyDescent="0.25">
      <c r="A39" s="64">
        <v>45631</v>
      </c>
      <c r="B39" t="s">
        <v>360</v>
      </c>
      <c r="C39" t="s">
        <v>359</v>
      </c>
      <c r="D39" t="s">
        <v>266</v>
      </c>
      <c r="E39">
        <v>104.8</v>
      </c>
      <c r="F39">
        <v>3.7120000000000002</v>
      </c>
      <c r="G39">
        <v>5.5157894736842108</v>
      </c>
      <c r="H39">
        <v>20.474599999999999</v>
      </c>
      <c r="I39" t="s">
        <v>14</v>
      </c>
    </row>
    <row r="40" spans="1:9" x14ac:dyDescent="0.25">
      <c r="A40" s="64">
        <v>45631</v>
      </c>
      <c r="B40" t="s">
        <v>371</v>
      </c>
      <c r="C40" t="s">
        <v>219</v>
      </c>
      <c r="D40" t="s">
        <v>218</v>
      </c>
      <c r="E40">
        <v>130.4</v>
      </c>
      <c r="F40">
        <v>3.7120000000000002</v>
      </c>
      <c r="G40">
        <v>6.8631578947368421</v>
      </c>
      <c r="H40">
        <v>25.475999999999999</v>
      </c>
      <c r="I40" t="s">
        <v>14</v>
      </c>
    </row>
    <row r="41" spans="1:9" x14ac:dyDescent="0.25">
      <c r="A41" s="64">
        <v>45631</v>
      </c>
      <c r="B41" t="s">
        <v>208</v>
      </c>
      <c r="C41" t="s">
        <v>207</v>
      </c>
      <c r="D41" t="s">
        <v>206</v>
      </c>
      <c r="E41">
        <v>166.2</v>
      </c>
      <c r="F41">
        <v>3.7120000000000002</v>
      </c>
      <c r="G41">
        <v>8.7473684210526308</v>
      </c>
      <c r="H41">
        <v>32.470199999999998</v>
      </c>
      <c r="I41" t="s">
        <v>14</v>
      </c>
    </row>
    <row r="42" spans="1:9" x14ac:dyDescent="0.25">
      <c r="A42" s="64">
        <v>45632</v>
      </c>
      <c r="B42" t="s">
        <v>227</v>
      </c>
      <c r="C42" t="s">
        <v>226</v>
      </c>
      <c r="D42" t="s">
        <v>225</v>
      </c>
      <c r="E42">
        <v>113.9</v>
      </c>
      <c r="F42">
        <v>3.7120000000000002</v>
      </c>
      <c r="G42">
        <v>5.9947368421052634</v>
      </c>
      <c r="H42">
        <v>22.252500000000001</v>
      </c>
      <c r="I42" t="s">
        <v>14</v>
      </c>
    </row>
    <row r="43" spans="1:9" x14ac:dyDescent="0.25">
      <c r="A43" s="64">
        <v>45632</v>
      </c>
      <c r="B43" t="s">
        <v>214</v>
      </c>
      <c r="C43" t="s">
        <v>213</v>
      </c>
      <c r="D43" t="s">
        <v>212</v>
      </c>
      <c r="E43">
        <v>117</v>
      </c>
      <c r="F43">
        <v>3.7120000000000002</v>
      </c>
      <c r="G43">
        <v>6.1578947368421053</v>
      </c>
      <c r="H43">
        <v>22.8581</v>
      </c>
      <c r="I43" t="s">
        <v>14</v>
      </c>
    </row>
    <row r="44" spans="1:9" x14ac:dyDescent="0.25">
      <c r="A44" s="64">
        <v>45632</v>
      </c>
      <c r="B44" t="s">
        <v>372</v>
      </c>
      <c r="C44" t="s">
        <v>358</v>
      </c>
      <c r="D44" t="s">
        <v>269</v>
      </c>
      <c r="E44">
        <v>134</v>
      </c>
      <c r="F44">
        <v>3.7120000000000002</v>
      </c>
      <c r="G44">
        <v>7.0526315789473681</v>
      </c>
      <c r="H44">
        <v>26.179400000000001</v>
      </c>
      <c r="I44" t="s">
        <v>14</v>
      </c>
    </row>
    <row r="45" spans="1:9" x14ac:dyDescent="0.25">
      <c r="A45" s="64">
        <v>45632</v>
      </c>
      <c r="B45" t="s">
        <v>112</v>
      </c>
      <c r="C45" t="s">
        <v>205</v>
      </c>
      <c r="D45" t="s">
        <v>204</v>
      </c>
      <c r="E45">
        <v>106.2</v>
      </c>
      <c r="F45">
        <v>3.7120000000000002</v>
      </c>
      <c r="G45">
        <v>5.5894736842105264</v>
      </c>
      <c r="H45">
        <v>20.748100000000001</v>
      </c>
      <c r="I45" t="s">
        <v>14</v>
      </c>
    </row>
    <row r="46" spans="1:9" x14ac:dyDescent="0.25">
      <c r="A46" s="64">
        <v>45632</v>
      </c>
      <c r="B46" t="s">
        <v>217</v>
      </c>
      <c r="C46" t="s">
        <v>216</v>
      </c>
      <c r="D46" t="s">
        <v>215</v>
      </c>
      <c r="E46">
        <v>113</v>
      </c>
      <c r="F46">
        <v>3.7120000000000002</v>
      </c>
      <c r="G46">
        <v>5.9473684210526319</v>
      </c>
      <c r="H46">
        <v>22.076599999999999</v>
      </c>
      <c r="I46" t="s">
        <v>14</v>
      </c>
    </row>
    <row r="47" spans="1:9" x14ac:dyDescent="0.25">
      <c r="A47" s="64">
        <v>45632</v>
      </c>
      <c r="B47" t="s">
        <v>224</v>
      </c>
      <c r="C47" t="s">
        <v>223</v>
      </c>
      <c r="D47" t="s">
        <v>222</v>
      </c>
      <c r="E47">
        <v>149.30000000000001</v>
      </c>
      <c r="F47">
        <v>3.7120000000000002</v>
      </c>
      <c r="G47">
        <v>7.8578947368421055</v>
      </c>
      <c r="H47">
        <v>29.168500000000002</v>
      </c>
      <c r="I47" t="s">
        <v>14</v>
      </c>
    </row>
    <row r="48" spans="1:9" x14ac:dyDescent="0.25">
      <c r="A48" s="64">
        <v>45632</v>
      </c>
      <c r="B48" t="s">
        <v>211</v>
      </c>
      <c r="C48" t="s">
        <v>210</v>
      </c>
      <c r="D48" t="s">
        <v>209</v>
      </c>
      <c r="E48">
        <v>0</v>
      </c>
      <c r="F48">
        <v>3.7120000000000002</v>
      </c>
      <c r="G48">
        <v>0</v>
      </c>
      <c r="H48">
        <v>0</v>
      </c>
      <c r="I48" t="s">
        <v>14</v>
      </c>
    </row>
    <row r="49" spans="1:9" x14ac:dyDescent="0.25">
      <c r="A49" s="64">
        <v>45632</v>
      </c>
      <c r="B49" t="s">
        <v>360</v>
      </c>
      <c r="C49" t="s">
        <v>359</v>
      </c>
      <c r="D49" t="s">
        <v>266</v>
      </c>
      <c r="E49">
        <v>71.400000000000006</v>
      </c>
      <c r="F49">
        <v>3.7120000000000002</v>
      </c>
      <c r="G49">
        <v>3.7578947368421054</v>
      </c>
      <c r="H49">
        <v>13.949299999999999</v>
      </c>
      <c r="I49" t="s">
        <v>14</v>
      </c>
    </row>
    <row r="50" spans="1:9" x14ac:dyDescent="0.25">
      <c r="A50" s="64">
        <v>45632</v>
      </c>
      <c r="B50" t="s">
        <v>371</v>
      </c>
      <c r="C50" t="s">
        <v>219</v>
      </c>
      <c r="D50" t="s">
        <v>218</v>
      </c>
      <c r="E50">
        <v>128.6</v>
      </c>
      <c r="F50">
        <v>3.7120000000000002</v>
      </c>
      <c r="G50">
        <v>6.7684210526315782</v>
      </c>
      <c r="H50">
        <v>25.124400000000001</v>
      </c>
      <c r="I50" t="s">
        <v>14</v>
      </c>
    </row>
    <row r="51" spans="1:9" x14ac:dyDescent="0.25">
      <c r="A51" s="64">
        <v>45632</v>
      </c>
      <c r="B51" t="s">
        <v>208</v>
      </c>
      <c r="C51" t="s">
        <v>207</v>
      </c>
      <c r="D51" t="s">
        <v>206</v>
      </c>
      <c r="E51">
        <v>131.19999999999999</v>
      </c>
      <c r="F51">
        <v>3.7120000000000002</v>
      </c>
      <c r="G51">
        <v>6.9052631578947361</v>
      </c>
      <c r="H51">
        <v>25.632300000000001</v>
      </c>
      <c r="I51" t="s">
        <v>14</v>
      </c>
    </row>
    <row r="52" spans="1:9" x14ac:dyDescent="0.25">
      <c r="A52" s="64">
        <v>45634</v>
      </c>
      <c r="B52" t="s">
        <v>214</v>
      </c>
      <c r="C52" t="s">
        <v>213</v>
      </c>
      <c r="D52" t="s">
        <v>212</v>
      </c>
      <c r="E52">
        <v>83.2</v>
      </c>
      <c r="F52">
        <v>3.7120000000000002</v>
      </c>
      <c r="G52">
        <v>4.3789473684210529</v>
      </c>
      <c r="H52">
        <v>16.2547</v>
      </c>
      <c r="I52" t="s">
        <v>14</v>
      </c>
    </row>
    <row r="53" spans="1:9" x14ac:dyDescent="0.25">
      <c r="A53" s="64">
        <v>45634</v>
      </c>
      <c r="B53" t="s">
        <v>208</v>
      </c>
      <c r="C53" t="s">
        <v>207</v>
      </c>
      <c r="D53" t="s">
        <v>206</v>
      </c>
      <c r="E53">
        <v>118</v>
      </c>
      <c r="F53">
        <v>3.7120000000000002</v>
      </c>
      <c r="G53">
        <v>6.2105263157894735</v>
      </c>
      <c r="H53">
        <v>23.0535</v>
      </c>
      <c r="I53" t="s">
        <v>14</v>
      </c>
    </row>
    <row r="54" spans="1:9" x14ac:dyDescent="0.25">
      <c r="A54" s="64">
        <v>45635</v>
      </c>
      <c r="B54" t="s">
        <v>227</v>
      </c>
      <c r="C54" t="s">
        <v>226</v>
      </c>
      <c r="D54" t="s">
        <v>225</v>
      </c>
      <c r="E54">
        <v>131.19999999999999</v>
      </c>
      <c r="F54">
        <v>3.7120000000000002</v>
      </c>
      <c r="G54">
        <v>6.9052631578947361</v>
      </c>
      <c r="H54">
        <v>25.632300000000001</v>
      </c>
      <c r="I54" t="s">
        <v>15</v>
      </c>
    </row>
    <row r="55" spans="1:9" x14ac:dyDescent="0.25">
      <c r="A55" s="64">
        <v>45635</v>
      </c>
      <c r="B55" t="s">
        <v>214</v>
      </c>
      <c r="C55" t="s">
        <v>213</v>
      </c>
      <c r="D55" t="s">
        <v>212</v>
      </c>
      <c r="E55">
        <v>162.5</v>
      </c>
      <c r="F55">
        <v>3.7120000000000002</v>
      </c>
      <c r="G55">
        <v>8.5526315789473681</v>
      </c>
      <c r="H55">
        <v>31.747399999999999</v>
      </c>
      <c r="I55" t="s">
        <v>15</v>
      </c>
    </row>
    <row r="56" spans="1:9" x14ac:dyDescent="0.25">
      <c r="A56" s="64">
        <v>45635</v>
      </c>
      <c r="B56" t="s">
        <v>372</v>
      </c>
      <c r="C56" t="s">
        <v>358</v>
      </c>
      <c r="D56" t="s">
        <v>269</v>
      </c>
      <c r="E56">
        <v>96.7</v>
      </c>
      <c r="F56">
        <v>3.7120000000000002</v>
      </c>
      <c r="G56">
        <v>5.0894736842105264</v>
      </c>
      <c r="H56">
        <v>18.892099999999999</v>
      </c>
      <c r="I56" t="s">
        <v>15</v>
      </c>
    </row>
    <row r="57" spans="1:9" x14ac:dyDescent="0.25">
      <c r="A57" s="64">
        <v>45635</v>
      </c>
      <c r="B57" t="s">
        <v>112</v>
      </c>
      <c r="C57" t="s">
        <v>205</v>
      </c>
      <c r="D57" t="s">
        <v>204</v>
      </c>
      <c r="E57">
        <v>103</v>
      </c>
      <c r="F57">
        <v>3.7120000000000002</v>
      </c>
      <c r="G57">
        <v>5.4210526315789478</v>
      </c>
      <c r="H57">
        <v>20.122900000000001</v>
      </c>
      <c r="I57" t="s">
        <v>15</v>
      </c>
    </row>
    <row r="58" spans="1:9" x14ac:dyDescent="0.25">
      <c r="A58" s="64">
        <v>45635</v>
      </c>
      <c r="B58" t="s">
        <v>217</v>
      </c>
      <c r="C58" t="s">
        <v>216</v>
      </c>
      <c r="D58" t="s">
        <v>215</v>
      </c>
      <c r="E58">
        <v>109.4</v>
      </c>
      <c r="F58">
        <v>3.7120000000000002</v>
      </c>
      <c r="G58">
        <v>5.7578947368421058</v>
      </c>
      <c r="H58">
        <v>21.3733</v>
      </c>
      <c r="I58" t="s">
        <v>15</v>
      </c>
    </row>
    <row r="59" spans="1:9" x14ac:dyDescent="0.25">
      <c r="A59" s="64">
        <v>45635</v>
      </c>
      <c r="B59" t="s">
        <v>224</v>
      </c>
      <c r="C59" t="s">
        <v>223</v>
      </c>
      <c r="D59" t="s">
        <v>222</v>
      </c>
      <c r="E59">
        <v>115</v>
      </c>
      <c r="F59">
        <v>3.7120000000000002</v>
      </c>
      <c r="G59">
        <v>6.0526315789473681</v>
      </c>
      <c r="H59">
        <v>22.467400000000001</v>
      </c>
      <c r="I59" t="s">
        <v>15</v>
      </c>
    </row>
    <row r="60" spans="1:9" x14ac:dyDescent="0.25">
      <c r="A60" s="64">
        <v>45635</v>
      </c>
      <c r="B60" t="s">
        <v>211</v>
      </c>
      <c r="C60" t="s">
        <v>210</v>
      </c>
      <c r="D60" t="s">
        <v>209</v>
      </c>
      <c r="E60">
        <v>110</v>
      </c>
      <c r="F60">
        <v>3.7120000000000002</v>
      </c>
      <c r="G60">
        <v>5.7894736842105265</v>
      </c>
      <c r="H60">
        <v>21.490500000000001</v>
      </c>
      <c r="I60" t="s">
        <v>15</v>
      </c>
    </row>
    <row r="61" spans="1:9" x14ac:dyDescent="0.25">
      <c r="A61" s="64">
        <v>45635</v>
      </c>
      <c r="B61" t="s">
        <v>360</v>
      </c>
      <c r="C61" t="s">
        <v>359</v>
      </c>
      <c r="D61" t="s">
        <v>266</v>
      </c>
      <c r="E61">
        <v>108.3</v>
      </c>
      <c r="F61">
        <v>3.7120000000000002</v>
      </c>
      <c r="G61">
        <v>5.7</v>
      </c>
      <c r="H61">
        <v>21.1584</v>
      </c>
      <c r="I61" t="s">
        <v>15</v>
      </c>
    </row>
    <row r="62" spans="1:9" x14ac:dyDescent="0.25">
      <c r="A62" s="64">
        <v>45635</v>
      </c>
      <c r="B62" t="s">
        <v>371</v>
      </c>
      <c r="C62" t="s">
        <v>219</v>
      </c>
      <c r="D62" t="s">
        <v>218</v>
      </c>
      <c r="E62">
        <v>128.1</v>
      </c>
      <c r="F62">
        <v>3.7120000000000002</v>
      </c>
      <c r="G62">
        <v>6.7421052631578942</v>
      </c>
      <c r="H62">
        <v>25.026700000000002</v>
      </c>
      <c r="I62" t="s">
        <v>15</v>
      </c>
    </row>
    <row r="63" spans="1:9" x14ac:dyDescent="0.25">
      <c r="A63" s="64">
        <v>45635</v>
      </c>
      <c r="B63" t="s">
        <v>208</v>
      </c>
      <c r="C63" t="s">
        <v>207</v>
      </c>
      <c r="D63" t="s">
        <v>206</v>
      </c>
      <c r="E63">
        <v>131.30000000000001</v>
      </c>
      <c r="F63">
        <v>3.7120000000000002</v>
      </c>
      <c r="G63">
        <v>6.9105263157894745</v>
      </c>
      <c r="H63">
        <v>25.651900000000001</v>
      </c>
      <c r="I63" t="s">
        <v>15</v>
      </c>
    </row>
    <row r="64" spans="1:9" x14ac:dyDescent="0.25">
      <c r="A64" s="64">
        <v>45636</v>
      </c>
      <c r="B64" t="s">
        <v>227</v>
      </c>
      <c r="C64" t="s">
        <v>226</v>
      </c>
      <c r="D64" t="s">
        <v>225</v>
      </c>
      <c r="E64">
        <v>106</v>
      </c>
      <c r="F64">
        <v>3.7120000000000002</v>
      </c>
      <c r="G64">
        <v>5.5789473684210522</v>
      </c>
      <c r="H64">
        <v>20.709099999999999</v>
      </c>
      <c r="I64" t="s">
        <v>15</v>
      </c>
    </row>
    <row r="65" spans="1:9" x14ac:dyDescent="0.25">
      <c r="A65" s="64">
        <v>45636</v>
      </c>
      <c r="B65" t="s">
        <v>214</v>
      </c>
      <c r="C65" t="s">
        <v>213</v>
      </c>
      <c r="D65" t="s">
        <v>212</v>
      </c>
      <c r="E65">
        <v>127.5</v>
      </c>
      <c r="F65">
        <v>3.7120000000000002</v>
      </c>
      <c r="G65">
        <v>6.7105263157894735</v>
      </c>
      <c r="H65">
        <v>24.909500000000001</v>
      </c>
      <c r="I65" t="s">
        <v>15</v>
      </c>
    </row>
    <row r="66" spans="1:9" x14ac:dyDescent="0.25">
      <c r="A66" s="64">
        <v>45636</v>
      </c>
      <c r="B66" t="s">
        <v>372</v>
      </c>
      <c r="C66" t="s">
        <v>358</v>
      </c>
      <c r="D66" t="s">
        <v>269</v>
      </c>
      <c r="E66">
        <v>96</v>
      </c>
      <c r="F66">
        <v>3.7120000000000002</v>
      </c>
      <c r="G66">
        <v>5.0526315789473681</v>
      </c>
      <c r="H66">
        <v>18.755400000000002</v>
      </c>
      <c r="I66" t="s">
        <v>15</v>
      </c>
    </row>
    <row r="67" spans="1:9" x14ac:dyDescent="0.25">
      <c r="A67" s="64">
        <v>45636</v>
      </c>
      <c r="B67" t="s">
        <v>112</v>
      </c>
      <c r="C67" t="s">
        <v>205</v>
      </c>
      <c r="D67" t="s">
        <v>204</v>
      </c>
      <c r="E67">
        <v>147.80000000000001</v>
      </c>
      <c r="F67">
        <v>3.7120000000000002</v>
      </c>
      <c r="G67">
        <v>7.7789473684210533</v>
      </c>
      <c r="H67">
        <v>28.875499999999999</v>
      </c>
      <c r="I67" t="s">
        <v>15</v>
      </c>
    </row>
    <row r="68" spans="1:9" x14ac:dyDescent="0.25">
      <c r="A68" s="64">
        <v>45636</v>
      </c>
      <c r="B68" t="s">
        <v>217</v>
      </c>
      <c r="C68" t="s">
        <v>216</v>
      </c>
      <c r="D68" t="s">
        <v>215</v>
      </c>
      <c r="E68">
        <v>117.9</v>
      </c>
      <c r="F68">
        <v>3.7120000000000002</v>
      </c>
      <c r="G68">
        <v>6.2052631578947368</v>
      </c>
      <c r="H68">
        <v>23.033899999999999</v>
      </c>
      <c r="I68" t="s">
        <v>15</v>
      </c>
    </row>
    <row r="69" spans="1:9" x14ac:dyDescent="0.25">
      <c r="A69" s="64">
        <v>45636</v>
      </c>
      <c r="B69" t="s">
        <v>224</v>
      </c>
      <c r="C69" t="s">
        <v>223</v>
      </c>
      <c r="D69" t="s">
        <v>222</v>
      </c>
      <c r="E69">
        <v>79.3</v>
      </c>
      <c r="F69">
        <v>3.7120000000000002</v>
      </c>
      <c r="G69">
        <v>4.1736842105263152</v>
      </c>
      <c r="H69">
        <v>15.492699999999999</v>
      </c>
      <c r="I69" t="s">
        <v>15</v>
      </c>
    </row>
    <row r="70" spans="1:9" x14ac:dyDescent="0.25">
      <c r="A70" s="64">
        <v>45636</v>
      </c>
      <c r="B70" t="s">
        <v>211</v>
      </c>
      <c r="C70" t="s">
        <v>210</v>
      </c>
      <c r="D70" t="s">
        <v>209</v>
      </c>
      <c r="E70">
        <v>126</v>
      </c>
      <c r="F70">
        <v>3.7120000000000002</v>
      </c>
      <c r="G70">
        <v>6.6315789473684212</v>
      </c>
      <c r="H70">
        <v>24.616399999999999</v>
      </c>
      <c r="I70" t="s">
        <v>15</v>
      </c>
    </row>
    <row r="71" spans="1:9" x14ac:dyDescent="0.25">
      <c r="A71" s="64">
        <v>45636</v>
      </c>
      <c r="B71" t="s">
        <v>360</v>
      </c>
      <c r="C71" t="s">
        <v>359</v>
      </c>
      <c r="D71" t="s">
        <v>266</v>
      </c>
      <c r="E71">
        <v>96.2</v>
      </c>
      <c r="F71">
        <v>3.7120000000000002</v>
      </c>
      <c r="G71">
        <v>5.0631578947368423</v>
      </c>
      <c r="H71">
        <v>18.7944</v>
      </c>
      <c r="I71" t="s">
        <v>15</v>
      </c>
    </row>
    <row r="72" spans="1:9" x14ac:dyDescent="0.25">
      <c r="A72" s="64">
        <v>45636</v>
      </c>
      <c r="B72" t="s">
        <v>371</v>
      </c>
      <c r="C72" t="s">
        <v>219</v>
      </c>
      <c r="D72" t="s">
        <v>218</v>
      </c>
      <c r="E72">
        <v>92.8</v>
      </c>
      <c r="F72">
        <v>3.7120000000000002</v>
      </c>
      <c r="G72">
        <v>4.8842105263157896</v>
      </c>
      <c r="H72">
        <v>18.130199999999999</v>
      </c>
      <c r="I72" t="s">
        <v>15</v>
      </c>
    </row>
    <row r="73" spans="1:9" x14ac:dyDescent="0.25">
      <c r="A73" s="64">
        <v>45636</v>
      </c>
      <c r="B73" t="s">
        <v>208</v>
      </c>
      <c r="C73" t="s">
        <v>207</v>
      </c>
      <c r="D73" t="s">
        <v>206</v>
      </c>
      <c r="E73">
        <v>130.1</v>
      </c>
      <c r="F73">
        <v>3.7120000000000002</v>
      </c>
      <c r="G73">
        <v>6.8473684210526313</v>
      </c>
      <c r="H73">
        <v>25.417400000000001</v>
      </c>
      <c r="I73" t="s">
        <v>15</v>
      </c>
    </row>
    <row r="74" spans="1:9" x14ac:dyDescent="0.25">
      <c r="A74" s="64">
        <v>45637</v>
      </c>
      <c r="B74" t="s">
        <v>227</v>
      </c>
      <c r="C74" t="s">
        <v>226</v>
      </c>
      <c r="D74" t="s">
        <v>225</v>
      </c>
      <c r="E74">
        <v>95.8</v>
      </c>
      <c r="F74">
        <v>3.7120000000000002</v>
      </c>
      <c r="G74">
        <v>5.0421052631578949</v>
      </c>
      <c r="H74">
        <v>18.7163</v>
      </c>
      <c r="I74" t="s">
        <v>15</v>
      </c>
    </row>
    <row r="75" spans="1:9" x14ac:dyDescent="0.25">
      <c r="A75" s="64">
        <v>45637</v>
      </c>
      <c r="B75" t="s">
        <v>214</v>
      </c>
      <c r="C75" t="s">
        <v>213</v>
      </c>
      <c r="D75" t="s">
        <v>212</v>
      </c>
      <c r="E75">
        <v>134.4</v>
      </c>
      <c r="F75">
        <v>3.7120000000000002</v>
      </c>
      <c r="G75">
        <v>7.0736842105263165</v>
      </c>
      <c r="H75">
        <v>26.2575</v>
      </c>
      <c r="I75" t="s">
        <v>15</v>
      </c>
    </row>
    <row r="76" spans="1:9" x14ac:dyDescent="0.25">
      <c r="A76" s="64">
        <v>45637</v>
      </c>
      <c r="B76" t="s">
        <v>372</v>
      </c>
      <c r="C76" t="s">
        <v>358</v>
      </c>
      <c r="D76" t="s">
        <v>269</v>
      </c>
      <c r="E76">
        <v>113.1</v>
      </c>
      <c r="F76">
        <v>3.7120000000000002</v>
      </c>
      <c r="G76">
        <v>5.9526315789473685</v>
      </c>
      <c r="H76">
        <v>22.0962</v>
      </c>
      <c r="I76" t="s">
        <v>15</v>
      </c>
    </row>
    <row r="77" spans="1:9" x14ac:dyDescent="0.25">
      <c r="A77" s="64">
        <v>45637</v>
      </c>
      <c r="B77" t="s">
        <v>112</v>
      </c>
      <c r="C77" t="s">
        <v>205</v>
      </c>
      <c r="D77" t="s">
        <v>204</v>
      </c>
      <c r="E77">
        <v>135.4</v>
      </c>
      <c r="F77">
        <v>3.7120000000000002</v>
      </c>
      <c r="G77">
        <v>7.1263157894736846</v>
      </c>
      <c r="H77">
        <v>26.4529</v>
      </c>
      <c r="I77" t="s">
        <v>15</v>
      </c>
    </row>
    <row r="78" spans="1:9" x14ac:dyDescent="0.25">
      <c r="A78" s="64">
        <v>45637</v>
      </c>
      <c r="B78" t="s">
        <v>217</v>
      </c>
      <c r="C78" t="s">
        <v>216</v>
      </c>
      <c r="D78" t="s">
        <v>215</v>
      </c>
      <c r="E78">
        <v>109.6</v>
      </c>
      <c r="F78">
        <v>3.7120000000000002</v>
      </c>
      <c r="G78">
        <v>5.7684210526315782</v>
      </c>
      <c r="H78">
        <v>21.412400000000002</v>
      </c>
      <c r="I78" t="s">
        <v>15</v>
      </c>
    </row>
    <row r="79" spans="1:9" x14ac:dyDescent="0.25">
      <c r="A79" s="64">
        <v>45637</v>
      </c>
      <c r="B79" t="s">
        <v>224</v>
      </c>
      <c r="C79" t="s">
        <v>223</v>
      </c>
      <c r="D79" t="s">
        <v>222</v>
      </c>
      <c r="E79">
        <v>164.6</v>
      </c>
      <c r="F79">
        <v>3.7120000000000002</v>
      </c>
      <c r="G79">
        <v>8.6631578947368411</v>
      </c>
      <c r="H79">
        <v>32.157600000000002</v>
      </c>
      <c r="I79" t="s">
        <v>15</v>
      </c>
    </row>
    <row r="80" spans="1:9" x14ac:dyDescent="0.25">
      <c r="A80" s="64">
        <v>45637</v>
      </c>
      <c r="B80" t="s">
        <v>211</v>
      </c>
      <c r="C80" t="s">
        <v>210</v>
      </c>
      <c r="D80" t="s">
        <v>209</v>
      </c>
      <c r="E80">
        <v>114</v>
      </c>
      <c r="F80">
        <v>3.7120000000000002</v>
      </c>
      <c r="G80">
        <v>6</v>
      </c>
      <c r="H80">
        <v>22.271999999999998</v>
      </c>
      <c r="I80" t="s">
        <v>15</v>
      </c>
    </row>
    <row r="81" spans="1:9" x14ac:dyDescent="0.25">
      <c r="A81" s="64">
        <v>45637</v>
      </c>
      <c r="B81" t="s">
        <v>360</v>
      </c>
      <c r="C81" t="s">
        <v>359</v>
      </c>
      <c r="D81" t="s">
        <v>266</v>
      </c>
      <c r="E81">
        <v>88</v>
      </c>
      <c r="F81">
        <v>3.7120000000000002</v>
      </c>
      <c r="G81">
        <v>4.6315789473684212</v>
      </c>
      <c r="H81">
        <v>17.192399999999999</v>
      </c>
      <c r="I81" t="s">
        <v>15</v>
      </c>
    </row>
    <row r="82" spans="1:9" x14ac:dyDescent="0.25">
      <c r="A82" s="64">
        <v>45637</v>
      </c>
      <c r="B82" t="s">
        <v>371</v>
      </c>
      <c r="C82" t="s">
        <v>219</v>
      </c>
      <c r="D82" t="s">
        <v>218</v>
      </c>
      <c r="E82">
        <v>128</v>
      </c>
      <c r="F82">
        <v>3.7120000000000002</v>
      </c>
      <c r="G82">
        <v>6.7368421052631575</v>
      </c>
      <c r="H82">
        <v>25.007200000000001</v>
      </c>
      <c r="I82" t="s">
        <v>15</v>
      </c>
    </row>
    <row r="83" spans="1:9" x14ac:dyDescent="0.25">
      <c r="A83" s="64">
        <v>45637</v>
      </c>
      <c r="B83" t="s">
        <v>208</v>
      </c>
      <c r="C83" t="s">
        <v>207</v>
      </c>
      <c r="D83" t="s">
        <v>206</v>
      </c>
      <c r="E83">
        <v>116.4</v>
      </c>
      <c r="F83">
        <v>3.7120000000000002</v>
      </c>
      <c r="G83">
        <v>6.1263157894736846</v>
      </c>
      <c r="H83">
        <v>22.7409</v>
      </c>
      <c r="I83" t="s">
        <v>15</v>
      </c>
    </row>
    <row r="84" spans="1:9" x14ac:dyDescent="0.25">
      <c r="A84" s="64">
        <v>45638</v>
      </c>
      <c r="B84" t="s">
        <v>227</v>
      </c>
      <c r="C84" t="s">
        <v>226</v>
      </c>
      <c r="D84" t="s">
        <v>225</v>
      </c>
      <c r="E84">
        <v>122.1</v>
      </c>
      <c r="F84">
        <v>3.7120000000000002</v>
      </c>
      <c r="G84">
        <v>6.4263157894736835</v>
      </c>
      <c r="H84">
        <v>23.854500000000002</v>
      </c>
      <c r="I84" t="s">
        <v>15</v>
      </c>
    </row>
    <row r="85" spans="1:9" x14ac:dyDescent="0.25">
      <c r="A85" s="64">
        <v>45638</v>
      </c>
      <c r="B85" t="s">
        <v>214</v>
      </c>
      <c r="C85" t="s">
        <v>213</v>
      </c>
      <c r="D85" t="s">
        <v>212</v>
      </c>
      <c r="E85">
        <v>118.8</v>
      </c>
      <c r="F85">
        <v>3.7120000000000002</v>
      </c>
      <c r="G85">
        <v>6.2526315789473683</v>
      </c>
      <c r="H85">
        <v>23.209800000000001</v>
      </c>
      <c r="I85" t="s">
        <v>15</v>
      </c>
    </row>
    <row r="86" spans="1:9" x14ac:dyDescent="0.25">
      <c r="A86" s="64">
        <v>45638</v>
      </c>
      <c r="B86" t="s">
        <v>372</v>
      </c>
      <c r="C86" t="s">
        <v>358</v>
      </c>
      <c r="D86" t="s">
        <v>269</v>
      </c>
      <c r="E86">
        <v>103.1</v>
      </c>
      <c r="F86">
        <v>3.7120000000000002</v>
      </c>
      <c r="G86">
        <v>5.4263157894736835</v>
      </c>
      <c r="H86">
        <v>20.142499999999998</v>
      </c>
      <c r="I86" t="s">
        <v>15</v>
      </c>
    </row>
    <row r="87" spans="1:9" x14ac:dyDescent="0.25">
      <c r="A87" s="64">
        <v>45638</v>
      </c>
      <c r="B87" t="s">
        <v>112</v>
      </c>
      <c r="C87" t="s">
        <v>205</v>
      </c>
      <c r="D87" t="s">
        <v>204</v>
      </c>
      <c r="E87">
        <v>102.2</v>
      </c>
      <c r="F87">
        <v>3.7120000000000002</v>
      </c>
      <c r="G87">
        <v>5.3789473684210529</v>
      </c>
      <c r="H87">
        <v>19.966699999999999</v>
      </c>
      <c r="I87" t="s">
        <v>15</v>
      </c>
    </row>
    <row r="88" spans="1:9" x14ac:dyDescent="0.25">
      <c r="A88" s="64">
        <v>45638</v>
      </c>
      <c r="B88" t="s">
        <v>217</v>
      </c>
      <c r="C88" t="s">
        <v>216</v>
      </c>
      <c r="D88" t="s">
        <v>215</v>
      </c>
      <c r="E88">
        <v>110.1</v>
      </c>
      <c r="F88">
        <v>3.7120000000000002</v>
      </c>
      <c r="G88">
        <v>5.7947368421052632</v>
      </c>
      <c r="H88">
        <v>21.510100000000001</v>
      </c>
      <c r="I88" t="s">
        <v>15</v>
      </c>
    </row>
    <row r="89" spans="1:9" x14ac:dyDescent="0.25">
      <c r="A89" s="64">
        <v>45638</v>
      </c>
      <c r="B89" t="s">
        <v>224</v>
      </c>
      <c r="C89" t="s">
        <v>223</v>
      </c>
      <c r="D89" t="s">
        <v>222</v>
      </c>
      <c r="E89">
        <v>113.8</v>
      </c>
      <c r="F89">
        <v>3.7120000000000002</v>
      </c>
      <c r="G89">
        <v>5.9894736842105258</v>
      </c>
      <c r="H89">
        <v>22.232900000000001</v>
      </c>
      <c r="I89" t="s">
        <v>15</v>
      </c>
    </row>
    <row r="90" spans="1:9" x14ac:dyDescent="0.25">
      <c r="A90" s="64">
        <v>45638</v>
      </c>
      <c r="B90" t="s">
        <v>211</v>
      </c>
      <c r="C90" t="s">
        <v>210</v>
      </c>
      <c r="D90" t="s">
        <v>209</v>
      </c>
      <c r="E90">
        <v>112.2</v>
      </c>
      <c r="F90">
        <v>3.7120000000000002</v>
      </c>
      <c r="G90">
        <v>5.905263157894737</v>
      </c>
      <c r="H90">
        <v>21.920300000000001</v>
      </c>
      <c r="I90" t="s">
        <v>15</v>
      </c>
    </row>
    <row r="91" spans="1:9" x14ac:dyDescent="0.25">
      <c r="A91" s="64">
        <v>45638</v>
      </c>
      <c r="B91" t="s">
        <v>360</v>
      </c>
      <c r="C91" t="s">
        <v>359</v>
      </c>
      <c r="D91" t="s">
        <v>266</v>
      </c>
      <c r="E91">
        <v>101.6</v>
      </c>
      <c r="F91">
        <v>3.7120000000000002</v>
      </c>
      <c r="G91">
        <v>5.3473684210526313</v>
      </c>
      <c r="H91">
        <v>19.849399999999999</v>
      </c>
      <c r="I91" t="s">
        <v>15</v>
      </c>
    </row>
    <row r="92" spans="1:9" x14ac:dyDescent="0.25">
      <c r="A92" s="64">
        <v>45638</v>
      </c>
      <c r="B92" t="s">
        <v>371</v>
      </c>
      <c r="C92" t="s">
        <v>219</v>
      </c>
      <c r="D92" t="s">
        <v>218</v>
      </c>
      <c r="E92">
        <v>145</v>
      </c>
      <c r="F92">
        <v>3.7120000000000002</v>
      </c>
      <c r="G92">
        <v>7.6315789473684212</v>
      </c>
      <c r="H92">
        <v>28.328399999999998</v>
      </c>
      <c r="I92" t="s">
        <v>15</v>
      </c>
    </row>
    <row r="93" spans="1:9" x14ac:dyDescent="0.25">
      <c r="A93" s="64">
        <v>45638</v>
      </c>
      <c r="B93" t="s">
        <v>208</v>
      </c>
      <c r="C93" t="s">
        <v>207</v>
      </c>
      <c r="D93" t="s">
        <v>206</v>
      </c>
      <c r="E93">
        <v>85.8</v>
      </c>
      <c r="F93">
        <v>3.7120000000000002</v>
      </c>
      <c r="G93">
        <v>4.5157894736842108</v>
      </c>
      <c r="H93">
        <v>16.762599999999999</v>
      </c>
      <c r="I93" t="s">
        <v>15</v>
      </c>
    </row>
    <row r="94" spans="1:9" x14ac:dyDescent="0.25">
      <c r="A94" s="64">
        <v>45639</v>
      </c>
      <c r="B94" t="s">
        <v>227</v>
      </c>
      <c r="C94" t="s">
        <v>226</v>
      </c>
      <c r="D94" t="s">
        <v>225</v>
      </c>
      <c r="E94">
        <v>106.7</v>
      </c>
      <c r="F94">
        <v>3.7120000000000002</v>
      </c>
      <c r="G94">
        <v>5.6157894736842104</v>
      </c>
      <c r="H94">
        <v>20.845800000000001</v>
      </c>
      <c r="I94" t="s">
        <v>15</v>
      </c>
    </row>
    <row r="95" spans="1:9" x14ac:dyDescent="0.25">
      <c r="A95" s="64">
        <v>45639</v>
      </c>
      <c r="B95" t="s">
        <v>214</v>
      </c>
      <c r="C95" t="s">
        <v>213</v>
      </c>
      <c r="D95" t="s">
        <v>212</v>
      </c>
      <c r="E95">
        <v>161.5</v>
      </c>
      <c r="F95">
        <v>3.7120000000000002</v>
      </c>
      <c r="G95">
        <v>8.5</v>
      </c>
      <c r="H95">
        <v>31.552</v>
      </c>
      <c r="I95" t="s">
        <v>15</v>
      </c>
    </row>
    <row r="96" spans="1:9" x14ac:dyDescent="0.25">
      <c r="A96" s="64">
        <v>45639</v>
      </c>
      <c r="B96" t="s">
        <v>372</v>
      </c>
      <c r="C96" t="s">
        <v>358</v>
      </c>
      <c r="D96" t="s">
        <v>269</v>
      </c>
      <c r="E96">
        <v>112</v>
      </c>
      <c r="F96">
        <v>3.7120000000000002</v>
      </c>
      <c r="G96">
        <v>5.8947368421052628</v>
      </c>
      <c r="H96">
        <v>21.8813</v>
      </c>
      <c r="I96" t="s">
        <v>15</v>
      </c>
    </row>
    <row r="97" spans="1:9" x14ac:dyDescent="0.25">
      <c r="A97" s="64">
        <v>45639</v>
      </c>
      <c r="B97" t="s">
        <v>112</v>
      </c>
      <c r="C97" t="s">
        <v>205</v>
      </c>
      <c r="D97" t="s">
        <v>204</v>
      </c>
      <c r="E97">
        <v>153.69999999999999</v>
      </c>
      <c r="F97">
        <v>3.7120000000000002</v>
      </c>
      <c r="G97">
        <v>8.0894736842105264</v>
      </c>
      <c r="H97">
        <v>30.028099999999998</v>
      </c>
      <c r="I97" t="s">
        <v>15</v>
      </c>
    </row>
    <row r="98" spans="1:9" x14ac:dyDescent="0.25">
      <c r="A98" s="64">
        <v>45639</v>
      </c>
      <c r="B98" t="s">
        <v>217</v>
      </c>
      <c r="C98" t="s">
        <v>216</v>
      </c>
      <c r="D98" t="s">
        <v>215</v>
      </c>
      <c r="E98">
        <v>131.5</v>
      </c>
      <c r="F98">
        <v>3.7120000000000002</v>
      </c>
      <c r="G98">
        <v>6.9210526315789478</v>
      </c>
      <c r="H98">
        <v>25.690899999999999</v>
      </c>
      <c r="I98" t="s">
        <v>15</v>
      </c>
    </row>
    <row r="99" spans="1:9" x14ac:dyDescent="0.25">
      <c r="A99" s="64">
        <v>45639</v>
      </c>
      <c r="B99" t="s">
        <v>224</v>
      </c>
      <c r="C99" t="s">
        <v>223</v>
      </c>
      <c r="D99" t="s">
        <v>222</v>
      </c>
      <c r="E99">
        <v>145.4</v>
      </c>
      <c r="F99">
        <v>3.7120000000000002</v>
      </c>
      <c r="G99">
        <v>7.6526315789473687</v>
      </c>
      <c r="H99">
        <v>28.406600000000001</v>
      </c>
      <c r="I99" t="s">
        <v>15</v>
      </c>
    </row>
    <row r="100" spans="1:9" x14ac:dyDescent="0.25">
      <c r="A100" s="64">
        <v>45639</v>
      </c>
      <c r="B100" t="s">
        <v>211</v>
      </c>
      <c r="C100" t="s">
        <v>210</v>
      </c>
      <c r="D100" t="s">
        <v>209</v>
      </c>
      <c r="E100">
        <v>125.9</v>
      </c>
      <c r="F100">
        <v>3.7120000000000002</v>
      </c>
      <c r="G100">
        <v>6.6263157894736846</v>
      </c>
      <c r="H100">
        <v>24.596900000000002</v>
      </c>
      <c r="I100" t="s">
        <v>15</v>
      </c>
    </row>
    <row r="101" spans="1:9" x14ac:dyDescent="0.25">
      <c r="A101" s="64">
        <v>45639</v>
      </c>
      <c r="B101" t="s">
        <v>360</v>
      </c>
      <c r="C101" t="s">
        <v>359</v>
      </c>
      <c r="D101" t="s">
        <v>266</v>
      </c>
      <c r="E101">
        <v>112.3</v>
      </c>
      <c r="F101">
        <v>3.7120000000000002</v>
      </c>
      <c r="G101">
        <v>5.9105263157894736</v>
      </c>
      <c r="H101">
        <v>21.939900000000002</v>
      </c>
      <c r="I101" t="s">
        <v>15</v>
      </c>
    </row>
    <row r="102" spans="1:9" x14ac:dyDescent="0.25">
      <c r="A102" s="64">
        <v>45639</v>
      </c>
      <c r="B102" t="s">
        <v>371</v>
      </c>
      <c r="C102" t="s">
        <v>219</v>
      </c>
      <c r="D102" t="s">
        <v>218</v>
      </c>
      <c r="E102">
        <v>121.5</v>
      </c>
      <c r="F102">
        <v>3.7120000000000002</v>
      </c>
      <c r="G102">
        <v>6.3947368421052628</v>
      </c>
      <c r="H102">
        <v>23.737300000000001</v>
      </c>
      <c r="I102" t="s">
        <v>15</v>
      </c>
    </row>
    <row r="103" spans="1:9" x14ac:dyDescent="0.25">
      <c r="A103" s="64">
        <v>45639</v>
      </c>
      <c r="B103" t="s">
        <v>208</v>
      </c>
      <c r="C103" t="s">
        <v>207</v>
      </c>
      <c r="D103" t="s">
        <v>206</v>
      </c>
      <c r="E103">
        <v>0</v>
      </c>
      <c r="F103">
        <v>3.7120000000000002</v>
      </c>
      <c r="G103">
        <v>0</v>
      </c>
      <c r="H103">
        <v>0</v>
      </c>
      <c r="I103" t="s">
        <v>15</v>
      </c>
    </row>
    <row r="104" spans="1:9" x14ac:dyDescent="0.25">
      <c r="A104" s="64">
        <v>45640</v>
      </c>
      <c r="B104" t="s">
        <v>208</v>
      </c>
      <c r="C104" t="s">
        <v>207</v>
      </c>
      <c r="D104" t="s">
        <v>206</v>
      </c>
      <c r="E104">
        <v>127.2</v>
      </c>
      <c r="F104">
        <v>3.7120000000000002</v>
      </c>
      <c r="G104">
        <v>6.6947368421052635</v>
      </c>
      <c r="H104">
        <v>24.850899999999999</v>
      </c>
      <c r="I104" t="s">
        <v>15</v>
      </c>
    </row>
    <row r="105" spans="1:9" x14ac:dyDescent="0.25">
      <c r="A105" s="64">
        <v>45641</v>
      </c>
      <c r="B105" t="s">
        <v>214</v>
      </c>
      <c r="C105" t="s">
        <v>213</v>
      </c>
      <c r="D105" t="s">
        <v>212</v>
      </c>
      <c r="E105">
        <v>88.2</v>
      </c>
      <c r="F105">
        <v>3.7120000000000002</v>
      </c>
      <c r="G105">
        <v>4.6421052631578945</v>
      </c>
      <c r="H105">
        <v>17.2315</v>
      </c>
      <c r="I105" t="s">
        <v>15</v>
      </c>
    </row>
    <row r="106" spans="1:9" x14ac:dyDescent="0.25">
      <c r="A106" s="64">
        <v>45641</v>
      </c>
      <c r="B106" t="s">
        <v>208</v>
      </c>
      <c r="C106" t="s">
        <v>207</v>
      </c>
      <c r="D106" t="s">
        <v>206</v>
      </c>
      <c r="E106">
        <v>105.9</v>
      </c>
      <c r="F106">
        <v>3.7120000000000002</v>
      </c>
      <c r="G106">
        <v>5.5736842105263165</v>
      </c>
      <c r="H106">
        <v>20.689499999999999</v>
      </c>
      <c r="I106" t="s">
        <v>15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7B7DA-0B0A-42D4-9F10-18ED005D48C0}">
  <sheetPr codeName="Sheet10">
    <tabColor rgb="FFFF0000"/>
  </sheetPr>
  <dimension ref="A1:L1600"/>
  <sheetViews>
    <sheetView workbookViewId="0">
      <selection activeCell="C19" sqref="C19:E19"/>
    </sheetView>
  </sheetViews>
  <sheetFormatPr defaultColWidth="9.140625" defaultRowHeight="15" x14ac:dyDescent="0.25"/>
  <cols>
    <col min="1" max="1" width="9.5703125" style="32" bestFit="1" customWidth="1"/>
    <col min="2" max="2" width="14.140625" style="32" customWidth="1"/>
    <col min="3" max="3" width="18" style="32" customWidth="1"/>
    <col min="4" max="16384" width="9.140625" style="32"/>
  </cols>
  <sheetData>
    <row r="1" spans="1:12" x14ac:dyDescent="0.25">
      <c r="A1" s="30" t="s">
        <v>316</v>
      </c>
      <c r="B1" s="30" t="s">
        <v>317</v>
      </c>
      <c r="C1" s="30" t="s">
        <v>318</v>
      </c>
      <c r="D1" s="30" t="s">
        <v>319</v>
      </c>
      <c r="E1" s="30" t="s">
        <v>320</v>
      </c>
      <c r="F1" s="30" t="s">
        <v>321</v>
      </c>
      <c r="G1" s="30" t="s">
        <v>322</v>
      </c>
      <c r="H1" s="30" t="s">
        <v>323</v>
      </c>
      <c r="I1" s="30" t="s">
        <v>324</v>
      </c>
      <c r="J1" s="30" t="s">
        <v>325</v>
      </c>
      <c r="K1" s="31" t="s">
        <v>326</v>
      </c>
      <c r="L1" s="56" t="s">
        <v>327</v>
      </c>
    </row>
    <row r="2" spans="1:12" ht="13.9" customHeight="1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9">
        <f>IF(I2&gt;0,21.5,0)</f>
        <v>0</v>
      </c>
    </row>
    <row r="3" spans="1:12" ht="15" customHeight="1" x14ac:dyDescent="0.25">
      <c r="A3" s="58" t="s">
        <v>328</v>
      </c>
      <c r="L3" s="32">
        <f>IF(I3&gt;0,21.5,0)</f>
        <v>0</v>
      </c>
    </row>
    <row r="4" spans="1:12" ht="10.15" customHeight="1" x14ac:dyDescent="0.25">
      <c r="A4" s="59"/>
      <c r="B4" s="59"/>
      <c r="C4" s="59"/>
      <c r="D4" s="59"/>
      <c r="E4" s="59"/>
      <c r="F4" s="59"/>
      <c r="G4" s="59"/>
      <c r="H4" s="59"/>
      <c r="I4" s="59"/>
      <c r="J4" s="59"/>
      <c r="K4" s="59"/>
      <c r="L4" s="59">
        <f>IF(I4&gt;0,21.5,0)</f>
        <v>0</v>
      </c>
    </row>
    <row r="1413" spans="1:1" x14ac:dyDescent="0.25">
      <c r="A1413" s="33"/>
    </row>
    <row r="1414" spans="1:1" x14ac:dyDescent="0.25">
      <c r="A1414" s="33"/>
    </row>
    <row r="1415" spans="1:1" x14ac:dyDescent="0.25">
      <c r="A1415" s="33"/>
    </row>
    <row r="1416" spans="1:1" x14ac:dyDescent="0.25">
      <c r="A1416" s="33"/>
    </row>
    <row r="1417" spans="1:1" x14ac:dyDescent="0.25">
      <c r="A1417" s="33"/>
    </row>
    <row r="1418" spans="1:1" x14ac:dyDescent="0.25">
      <c r="A1418" s="33"/>
    </row>
    <row r="1419" spans="1:1" x14ac:dyDescent="0.25">
      <c r="A1419" s="33"/>
    </row>
    <row r="1420" spans="1:1" x14ac:dyDescent="0.25">
      <c r="A1420" s="33"/>
    </row>
    <row r="1421" spans="1:1" x14ac:dyDescent="0.25">
      <c r="A1421" s="33"/>
    </row>
    <row r="1422" spans="1:1" x14ac:dyDescent="0.25">
      <c r="A1422" s="33"/>
    </row>
    <row r="1423" spans="1:1" x14ac:dyDescent="0.25">
      <c r="A1423" s="33"/>
    </row>
    <row r="1424" spans="1:1" x14ac:dyDescent="0.25">
      <c r="A1424" s="33"/>
    </row>
    <row r="1425" spans="1:1" x14ac:dyDescent="0.25">
      <c r="A1425" s="33"/>
    </row>
    <row r="1426" spans="1:1" x14ac:dyDescent="0.25">
      <c r="A1426" s="33"/>
    </row>
    <row r="1427" spans="1:1" x14ac:dyDescent="0.25">
      <c r="A1427" s="33"/>
    </row>
    <row r="1428" spans="1:1" x14ac:dyDescent="0.25">
      <c r="A1428" s="33"/>
    </row>
    <row r="1429" spans="1:1" x14ac:dyDescent="0.25">
      <c r="A1429" s="33"/>
    </row>
    <row r="1430" spans="1:1" x14ac:dyDescent="0.25">
      <c r="A1430" s="33"/>
    </row>
    <row r="1431" spans="1:1" x14ac:dyDescent="0.25">
      <c r="A1431" s="33"/>
    </row>
    <row r="1432" spans="1:1" x14ac:dyDescent="0.25">
      <c r="A1432" s="33"/>
    </row>
    <row r="1433" spans="1:1" x14ac:dyDescent="0.25">
      <c r="A1433" s="33"/>
    </row>
    <row r="1434" spans="1:1" x14ac:dyDescent="0.25">
      <c r="A1434" s="33"/>
    </row>
    <row r="1435" spans="1:1" x14ac:dyDescent="0.25">
      <c r="A1435" s="33"/>
    </row>
    <row r="1436" spans="1:1" x14ac:dyDescent="0.25">
      <c r="A1436" s="33"/>
    </row>
    <row r="1437" spans="1:1" x14ac:dyDescent="0.25">
      <c r="A1437" s="33"/>
    </row>
    <row r="1438" spans="1:1" x14ac:dyDescent="0.25">
      <c r="A1438" s="33"/>
    </row>
    <row r="1439" spans="1:1" x14ac:dyDescent="0.25">
      <c r="A1439" s="33"/>
    </row>
    <row r="1440" spans="1:1" x14ac:dyDescent="0.25">
      <c r="A1440" s="33"/>
    </row>
    <row r="1441" spans="1:1" x14ac:dyDescent="0.25">
      <c r="A1441" s="33"/>
    </row>
    <row r="1442" spans="1:1" x14ac:dyDescent="0.25">
      <c r="A1442" s="33"/>
    </row>
    <row r="1443" spans="1:1" x14ac:dyDescent="0.25">
      <c r="A1443" s="33"/>
    </row>
    <row r="1444" spans="1:1" x14ac:dyDescent="0.25">
      <c r="A1444" s="33"/>
    </row>
    <row r="1445" spans="1:1" x14ac:dyDescent="0.25">
      <c r="A1445" s="33"/>
    </row>
    <row r="1446" spans="1:1" x14ac:dyDescent="0.25">
      <c r="A1446" s="33"/>
    </row>
    <row r="1447" spans="1:1" x14ac:dyDescent="0.25">
      <c r="A1447" s="33"/>
    </row>
    <row r="1448" spans="1:1" x14ac:dyDescent="0.25">
      <c r="A1448" s="33"/>
    </row>
    <row r="1449" spans="1:1" x14ac:dyDescent="0.25">
      <c r="A1449" s="33"/>
    </row>
    <row r="1450" spans="1:1" x14ac:dyDescent="0.25">
      <c r="A1450" s="33"/>
    </row>
    <row r="1451" spans="1:1" x14ac:dyDescent="0.25">
      <c r="A1451" s="33"/>
    </row>
    <row r="1452" spans="1:1" x14ac:dyDescent="0.25">
      <c r="A1452" s="33"/>
    </row>
    <row r="1453" spans="1:1" x14ac:dyDescent="0.25">
      <c r="A1453" s="33"/>
    </row>
    <row r="1454" spans="1:1" x14ac:dyDescent="0.25">
      <c r="A1454" s="33"/>
    </row>
    <row r="1455" spans="1:1" x14ac:dyDescent="0.25">
      <c r="A1455" s="33"/>
    </row>
    <row r="1456" spans="1:1" x14ac:dyDescent="0.25">
      <c r="A1456" s="33"/>
    </row>
    <row r="1457" spans="1:1" x14ac:dyDescent="0.25">
      <c r="A1457" s="33"/>
    </row>
    <row r="1458" spans="1:1" x14ac:dyDescent="0.25">
      <c r="A1458" s="33"/>
    </row>
    <row r="1459" spans="1:1" x14ac:dyDescent="0.25">
      <c r="A1459" s="33"/>
    </row>
    <row r="1460" spans="1:1" x14ac:dyDescent="0.25">
      <c r="A1460" s="33"/>
    </row>
    <row r="1461" spans="1:1" x14ac:dyDescent="0.25">
      <c r="A1461" s="33"/>
    </row>
    <row r="1462" spans="1:1" x14ac:dyDescent="0.25">
      <c r="A1462" s="33"/>
    </row>
    <row r="1463" spans="1:1" x14ac:dyDescent="0.25">
      <c r="A1463" s="33"/>
    </row>
    <row r="1464" spans="1:1" x14ac:dyDescent="0.25">
      <c r="A1464" s="33"/>
    </row>
    <row r="1465" spans="1:1" x14ac:dyDescent="0.25">
      <c r="A1465" s="33"/>
    </row>
    <row r="1466" spans="1:1" x14ac:dyDescent="0.25">
      <c r="A1466" s="33"/>
    </row>
    <row r="1467" spans="1:1" x14ac:dyDescent="0.25">
      <c r="A1467" s="33"/>
    </row>
    <row r="1468" spans="1:1" x14ac:dyDescent="0.25">
      <c r="A1468" s="33"/>
    </row>
    <row r="1469" spans="1:1" x14ac:dyDescent="0.25">
      <c r="A1469" s="33"/>
    </row>
    <row r="1470" spans="1:1" x14ac:dyDescent="0.25">
      <c r="A1470" s="33"/>
    </row>
    <row r="1471" spans="1:1" x14ac:dyDescent="0.25">
      <c r="A1471" s="33"/>
    </row>
    <row r="1472" spans="1:1" x14ac:dyDescent="0.25">
      <c r="A1472" s="33"/>
    </row>
    <row r="1473" spans="1:1" x14ac:dyDescent="0.25">
      <c r="A1473" s="33"/>
    </row>
    <row r="1474" spans="1:1" x14ac:dyDescent="0.25">
      <c r="A1474" s="33"/>
    </row>
    <row r="1475" spans="1:1" x14ac:dyDescent="0.25">
      <c r="A1475" s="33"/>
    </row>
    <row r="1476" spans="1:1" x14ac:dyDescent="0.25">
      <c r="A1476" s="33"/>
    </row>
    <row r="1477" spans="1:1" x14ac:dyDescent="0.25">
      <c r="A1477" s="33"/>
    </row>
    <row r="1478" spans="1:1" x14ac:dyDescent="0.25">
      <c r="A1478" s="33"/>
    </row>
    <row r="1479" spans="1:1" x14ac:dyDescent="0.25">
      <c r="A1479" s="33"/>
    </row>
    <row r="1480" spans="1:1" x14ac:dyDescent="0.25">
      <c r="A1480" s="33"/>
    </row>
    <row r="1481" spans="1:1" x14ac:dyDescent="0.25">
      <c r="A1481" s="33"/>
    </row>
    <row r="1482" spans="1:1" x14ac:dyDescent="0.25">
      <c r="A1482" s="33"/>
    </row>
    <row r="1483" spans="1:1" x14ac:dyDescent="0.25">
      <c r="A1483" s="33"/>
    </row>
    <row r="1484" spans="1:1" x14ac:dyDescent="0.25">
      <c r="A1484" s="33"/>
    </row>
    <row r="1485" spans="1:1" x14ac:dyDescent="0.25">
      <c r="A1485" s="33"/>
    </row>
    <row r="1486" spans="1:1" x14ac:dyDescent="0.25">
      <c r="A1486" s="33"/>
    </row>
    <row r="1487" spans="1:1" x14ac:dyDescent="0.25">
      <c r="A1487" s="33"/>
    </row>
    <row r="1488" spans="1:1" x14ac:dyDescent="0.25">
      <c r="A1488" s="33"/>
    </row>
    <row r="1489" spans="1:1" x14ac:dyDescent="0.25">
      <c r="A1489" s="33"/>
    </row>
    <row r="1490" spans="1:1" x14ac:dyDescent="0.25">
      <c r="A1490" s="33"/>
    </row>
    <row r="1491" spans="1:1" x14ac:dyDescent="0.25">
      <c r="A1491" s="33"/>
    </row>
    <row r="1492" spans="1:1" x14ac:dyDescent="0.25">
      <c r="A1492" s="33"/>
    </row>
    <row r="1493" spans="1:1" x14ac:dyDescent="0.25">
      <c r="A1493" s="33"/>
    </row>
    <row r="1494" spans="1:1" x14ac:dyDescent="0.25">
      <c r="A1494" s="33"/>
    </row>
    <row r="1495" spans="1:1" x14ac:dyDescent="0.25">
      <c r="A1495" s="33"/>
    </row>
    <row r="1496" spans="1:1" x14ac:dyDescent="0.25">
      <c r="A1496" s="33"/>
    </row>
    <row r="1497" spans="1:1" x14ac:dyDescent="0.25">
      <c r="A1497" s="33"/>
    </row>
    <row r="1498" spans="1:1" x14ac:dyDescent="0.25">
      <c r="A1498" s="33"/>
    </row>
    <row r="1499" spans="1:1" x14ac:dyDescent="0.25">
      <c r="A1499" s="33"/>
    </row>
    <row r="1500" spans="1:1" x14ac:dyDescent="0.25">
      <c r="A1500" s="33"/>
    </row>
    <row r="1501" spans="1:1" x14ac:dyDescent="0.25">
      <c r="A1501" s="33"/>
    </row>
    <row r="1502" spans="1:1" x14ac:dyDescent="0.25">
      <c r="A1502" s="33"/>
    </row>
    <row r="1503" spans="1:1" x14ac:dyDescent="0.25">
      <c r="A1503" s="33"/>
    </row>
    <row r="1504" spans="1:1" x14ac:dyDescent="0.25">
      <c r="A1504" s="33"/>
    </row>
    <row r="1505" spans="1:1" x14ac:dyDescent="0.25">
      <c r="A1505" s="33"/>
    </row>
    <row r="1506" spans="1:1" x14ac:dyDescent="0.25">
      <c r="A1506" s="33"/>
    </row>
    <row r="1507" spans="1:1" x14ac:dyDescent="0.25">
      <c r="A1507" s="33"/>
    </row>
    <row r="1508" spans="1:1" x14ac:dyDescent="0.25">
      <c r="A1508" s="33"/>
    </row>
    <row r="1509" spans="1:1" x14ac:dyDescent="0.25">
      <c r="A1509" s="33"/>
    </row>
    <row r="1510" spans="1:1" x14ac:dyDescent="0.25">
      <c r="A1510" s="33"/>
    </row>
    <row r="1511" spans="1:1" x14ac:dyDescent="0.25">
      <c r="A1511" s="33"/>
    </row>
    <row r="1512" spans="1:1" x14ac:dyDescent="0.25">
      <c r="A1512" s="33"/>
    </row>
    <row r="1513" spans="1:1" x14ac:dyDescent="0.25">
      <c r="A1513" s="33"/>
    </row>
    <row r="1514" spans="1:1" x14ac:dyDescent="0.25">
      <c r="A1514" s="33"/>
    </row>
    <row r="1515" spans="1:1" x14ac:dyDescent="0.25">
      <c r="A1515" s="33"/>
    </row>
    <row r="1516" spans="1:1" x14ac:dyDescent="0.25">
      <c r="A1516" s="33"/>
    </row>
    <row r="1517" spans="1:1" x14ac:dyDescent="0.25">
      <c r="A1517" s="33"/>
    </row>
    <row r="1518" spans="1:1" x14ac:dyDescent="0.25">
      <c r="A1518" s="33"/>
    </row>
    <row r="1519" spans="1:1" x14ac:dyDescent="0.25">
      <c r="A1519" s="33"/>
    </row>
    <row r="1520" spans="1:1" x14ac:dyDescent="0.25">
      <c r="A1520" s="33"/>
    </row>
    <row r="1521" spans="1:1" x14ac:dyDescent="0.25">
      <c r="A1521" s="33"/>
    </row>
    <row r="1522" spans="1:1" x14ac:dyDescent="0.25">
      <c r="A1522" s="33"/>
    </row>
    <row r="1523" spans="1:1" x14ac:dyDescent="0.25">
      <c r="A1523" s="33"/>
    </row>
    <row r="1524" spans="1:1" x14ac:dyDescent="0.25">
      <c r="A1524" s="33"/>
    </row>
    <row r="1525" spans="1:1" x14ac:dyDescent="0.25">
      <c r="A1525" s="33"/>
    </row>
    <row r="1526" spans="1:1" x14ac:dyDescent="0.25">
      <c r="A1526" s="33"/>
    </row>
    <row r="1527" spans="1:1" x14ac:dyDescent="0.25">
      <c r="A1527" s="33"/>
    </row>
    <row r="1528" spans="1:1" x14ac:dyDescent="0.25">
      <c r="A1528" s="33"/>
    </row>
    <row r="1529" spans="1:1" x14ac:dyDescent="0.25">
      <c r="A1529" s="33"/>
    </row>
    <row r="1530" spans="1:1" x14ac:dyDescent="0.25">
      <c r="A1530" s="33"/>
    </row>
    <row r="1531" spans="1:1" x14ac:dyDescent="0.25">
      <c r="A1531" s="33"/>
    </row>
    <row r="1532" spans="1:1" x14ac:dyDescent="0.25">
      <c r="A1532" s="33"/>
    </row>
    <row r="1533" spans="1:1" x14ac:dyDescent="0.25">
      <c r="A1533" s="33"/>
    </row>
    <row r="1534" spans="1:1" x14ac:dyDescent="0.25">
      <c r="A1534" s="33"/>
    </row>
    <row r="1535" spans="1:1" x14ac:dyDescent="0.25">
      <c r="A1535" s="33"/>
    </row>
    <row r="1536" spans="1:1" x14ac:dyDescent="0.25">
      <c r="A1536" s="33"/>
    </row>
    <row r="1537" spans="1:1" x14ac:dyDescent="0.25">
      <c r="A1537" s="33"/>
    </row>
    <row r="1538" spans="1:1" x14ac:dyDescent="0.25">
      <c r="A1538" s="33"/>
    </row>
    <row r="1539" spans="1:1" x14ac:dyDescent="0.25">
      <c r="A1539" s="33"/>
    </row>
    <row r="1540" spans="1:1" x14ac:dyDescent="0.25">
      <c r="A1540" s="33"/>
    </row>
    <row r="1541" spans="1:1" x14ac:dyDescent="0.25">
      <c r="A1541" s="33"/>
    </row>
    <row r="1542" spans="1:1" x14ac:dyDescent="0.25">
      <c r="A1542" s="33"/>
    </row>
    <row r="1543" spans="1:1" x14ac:dyDescent="0.25">
      <c r="A1543" s="33"/>
    </row>
    <row r="1544" spans="1:1" x14ac:dyDescent="0.25">
      <c r="A1544" s="33"/>
    </row>
    <row r="1545" spans="1:1" x14ac:dyDescent="0.25">
      <c r="A1545" s="33"/>
    </row>
    <row r="1546" spans="1:1" x14ac:dyDescent="0.25">
      <c r="A1546" s="33"/>
    </row>
    <row r="1547" spans="1:1" x14ac:dyDescent="0.25">
      <c r="A1547" s="33"/>
    </row>
    <row r="1548" spans="1:1" x14ac:dyDescent="0.25">
      <c r="A1548" s="33"/>
    </row>
    <row r="1549" spans="1:1" x14ac:dyDescent="0.25">
      <c r="A1549" s="33"/>
    </row>
    <row r="1550" spans="1:1" x14ac:dyDescent="0.25">
      <c r="A1550" s="33"/>
    </row>
    <row r="1551" spans="1:1" x14ac:dyDescent="0.25">
      <c r="A1551" s="33"/>
    </row>
    <row r="1552" spans="1:1" x14ac:dyDescent="0.25">
      <c r="A1552" s="33"/>
    </row>
    <row r="1553" spans="1:1" x14ac:dyDescent="0.25">
      <c r="A1553" s="33"/>
    </row>
    <row r="1554" spans="1:1" x14ac:dyDescent="0.25">
      <c r="A1554" s="33"/>
    </row>
    <row r="1555" spans="1:1" x14ac:dyDescent="0.25">
      <c r="A1555" s="33"/>
    </row>
    <row r="1556" spans="1:1" x14ac:dyDescent="0.25">
      <c r="A1556" s="33"/>
    </row>
    <row r="1557" spans="1:1" x14ac:dyDescent="0.25">
      <c r="A1557" s="33"/>
    </row>
    <row r="1558" spans="1:1" x14ac:dyDescent="0.25">
      <c r="A1558" s="33"/>
    </row>
    <row r="1559" spans="1:1" x14ac:dyDescent="0.25">
      <c r="A1559" s="33"/>
    </row>
    <row r="1560" spans="1:1" x14ac:dyDescent="0.25">
      <c r="A1560" s="33"/>
    </row>
    <row r="1561" spans="1:1" x14ac:dyDescent="0.25">
      <c r="A1561" s="33"/>
    </row>
    <row r="1562" spans="1:1" x14ac:dyDescent="0.25">
      <c r="A1562" s="33"/>
    </row>
    <row r="1563" spans="1:1" x14ac:dyDescent="0.25">
      <c r="A1563" s="33"/>
    </row>
    <row r="1564" spans="1:1" x14ac:dyDescent="0.25">
      <c r="A1564" s="33"/>
    </row>
    <row r="1565" spans="1:1" x14ac:dyDescent="0.25">
      <c r="A1565" s="33"/>
    </row>
    <row r="1566" spans="1:1" x14ac:dyDescent="0.25">
      <c r="A1566" s="33"/>
    </row>
    <row r="1567" spans="1:1" x14ac:dyDescent="0.25">
      <c r="A1567" s="33"/>
    </row>
    <row r="1568" spans="1:1" x14ac:dyDescent="0.25">
      <c r="A1568" s="33"/>
    </row>
    <row r="1569" spans="1:1" x14ac:dyDescent="0.25">
      <c r="A1569" s="33"/>
    </row>
    <row r="1570" spans="1:1" x14ac:dyDescent="0.25">
      <c r="A1570" s="33"/>
    </row>
    <row r="1571" spans="1:1" x14ac:dyDescent="0.25">
      <c r="A1571" s="33"/>
    </row>
    <row r="1572" spans="1:1" x14ac:dyDescent="0.25">
      <c r="A1572" s="33"/>
    </row>
    <row r="1573" spans="1:1" x14ac:dyDescent="0.25">
      <c r="A1573" s="33"/>
    </row>
    <row r="1574" spans="1:1" x14ac:dyDescent="0.25">
      <c r="A1574" s="33"/>
    </row>
    <row r="1575" spans="1:1" x14ac:dyDescent="0.25">
      <c r="A1575" s="33"/>
    </row>
    <row r="1576" spans="1:1" x14ac:dyDescent="0.25">
      <c r="A1576" s="33"/>
    </row>
    <row r="1577" spans="1:1" x14ac:dyDescent="0.25">
      <c r="A1577" s="33"/>
    </row>
    <row r="1578" spans="1:1" x14ac:dyDescent="0.25">
      <c r="A1578" s="33"/>
    </row>
    <row r="1579" spans="1:1" x14ac:dyDescent="0.25">
      <c r="A1579" s="33"/>
    </row>
    <row r="1580" spans="1:1" x14ac:dyDescent="0.25">
      <c r="A1580" s="33"/>
    </row>
    <row r="1581" spans="1:1" x14ac:dyDescent="0.25">
      <c r="A1581" s="33"/>
    </row>
    <row r="1582" spans="1:1" x14ac:dyDescent="0.25">
      <c r="A1582" s="33"/>
    </row>
    <row r="1583" spans="1:1" x14ac:dyDescent="0.25">
      <c r="A1583" s="33"/>
    </row>
    <row r="1584" spans="1:1" x14ac:dyDescent="0.25">
      <c r="A1584" s="33"/>
    </row>
    <row r="1585" spans="1:1" x14ac:dyDescent="0.25">
      <c r="A1585" s="33"/>
    </row>
    <row r="1586" spans="1:1" x14ac:dyDescent="0.25">
      <c r="A1586" s="33"/>
    </row>
    <row r="1587" spans="1:1" x14ac:dyDescent="0.25">
      <c r="A1587" s="33"/>
    </row>
    <row r="1588" spans="1:1" x14ac:dyDescent="0.25">
      <c r="A1588" s="33"/>
    </row>
    <row r="1589" spans="1:1" x14ac:dyDescent="0.25">
      <c r="A1589" s="33"/>
    </row>
    <row r="1590" spans="1:1" x14ac:dyDescent="0.25">
      <c r="A1590" s="33"/>
    </row>
    <row r="1591" spans="1:1" x14ac:dyDescent="0.25">
      <c r="A1591" s="33"/>
    </row>
    <row r="1592" spans="1:1" x14ac:dyDescent="0.25">
      <c r="A1592" s="33"/>
    </row>
    <row r="1593" spans="1:1" x14ac:dyDescent="0.25">
      <c r="A1593" s="33"/>
    </row>
    <row r="1594" spans="1:1" x14ac:dyDescent="0.25">
      <c r="A1594" s="33"/>
    </row>
    <row r="1595" spans="1:1" x14ac:dyDescent="0.25">
      <c r="A1595" s="33"/>
    </row>
    <row r="1596" spans="1:1" x14ac:dyDescent="0.25">
      <c r="A1596" s="33"/>
    </row>
    <row r="1597" spans="1:1" x14ac:dyDescent="0.25">
      <c r="A1597" s="33"/>
    </row>
    <row r="1598" spans="1:1" x14ac:dyDescent="0.25">
      <c r="A1598" s="33"/>
    </row>
    <row r="1599" spans="1:1" x14ac:dyDescent="0.25">
      <c r="A1599" s="33"/>
    </row>
    <row r="1600" spans="1:1" x14ac:dyDescent="0.25">
      <c r="A1600" s="33"/>
    </row>
  </sheetData>
  <sortState xmlns:xlrd2="http://schemas.microsoft.com/office/spreadsheetml/2017/richdata2" ref="A3:I3">
    <sortCondition ref="C3"/>
  </sortState>
  <pageMargins left="0.7" right="0.7" top="0.75" bottom="0.75" header="0.3" footer="0.3"/>
  <pageSetup orientation="portrait" horizontalDpi="0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D7B44-EB7A-4019-BBDB-1D6A647693D3}">
  <sheetPr codeName="Sheet11"/>
  <dimension ref="A1:N206"/>
  <sheetViews>
    <sheetView zoomScale="90" zoomScaleNormal="90" workbookViewId="0">
      <selection activeCell="A3" sqref="A3:XFD120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316</v>
      </c>
      <c r="B1" s="34" t="s">
        <v>329</v>
      </c>
      <c r="C1" s="34" t="s">
        <v>319</v>
      </c>
      <c r="D1" s="34" t="s">
        <v>318</v>
      </c>
      <c r="E1" s="34" t="s">
        <v>330</v>
      </c>
      <c r="F1" s="34" t="s">
        <v>321</v>
      </c>
      <c r="G1" s="34" t="s">
        <v>322</v>
      </c>
      <c r="H1" s="34" t="s">
        <v>331</v>
      </c>
      <c r="I1" s="34" t="s">
        <v>332</v>
      </c>
      <c r="J1" s="34" t="s">
        <v>325</v>
      </c>
      <c r="K1" s="34" t="s">
        <v>326</v>
      </c>
      <c r="L1" s="35" t="s">
        <v>327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333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334</v>
      </c>
      <c r="J5" s="42"/>
      <c r="L5" s="43">
        <f>J5*2.5</f>
        <v>0</v>
      </c>
    </row>
    <row r="6" spans="1:14" x14ac:dyDescent="0.25">
      <c r="I6" s="40"/>
      <c r="J6" s="6" t="s">
        <v>335</v>
      </c>
      <c r="L6" s="5">
        <f>SUM(L2:L4)</f>
        <v>0</v>
      </c>
    </row>
    <row r="7" spans="1:14" x14ac:dyDescent="0.25">
      <c r="I7" s="52"/>
      <c r="J7" s="7" t="s">
        <v>336</v>
      </c>
      <c r="L7" s="5">
        <v>0</v>
      </c>
    </row>
    <row r="8" spans="1:14" x14ac:dyDescent="0.25">
      <c r="I8" s="34"/>
      <c r="J8" s="7" t="s">
        <v>337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338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339</v>
      </c>
      <c r="L13" s="13">
        <f>L6+L7+L8-L10-L11-L12</f>
        <v>-300</v>
      </c>
    </row>
    <row r="14" spans="1:14" ht="15.75" x14ac:dyDescent="0.25">
      <c r="J14" s="3" t="s">
        <v>340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autoFilter ref="A1:L1" xr:uid="{ABC0D0AC-6956-41E6-83C8-A633F1BA1840}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C47FA-5EBC-4FA2-96D3-542780B72E11}">
  <sheetPr codeName="Sheet12"/>
  <dimension ref="A1:N206"/>
  <sheetViews>
    <sheetView workbookViewId="0">
      <selection activeCell="O10" sqref="O10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316</v>
      </c>
      <c r="B1" s="34" t="s">
        <v>329</v>
      </c>
      <c r="C1" s="34" t="s">
        <v>319</v>
      </c>
      <c r="D1" s="34" t="s">
        <v>318</v>
      </c>
      <c r="E1" s="34" t="s">
        <v>330</v>
      </c>
      <c r="F1" s="34" t="s">
        <v>321</v>
      </c>
      <c r="G1" s="34" t="s">
        <v>322</v>
      </c>
      <c r="H1" s="34" t="s">
        <v>331</v>
      </c>
      <c r="I1" s="34" t="s">
        <v>332</v>
      </c>
      <c r="J1" s="34" t="s">
        <v>325</v>
      </c>
      <c r="K1" s="34" t="s">
        <v>326</v>
      </c>
      <c r="L1" s="35" t="s">
        <v>327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333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334</v>
      </c>
      <c r="J5" s="42"/>
      <c r="L5" s="43">
        <f>J5*2.5</f>
        <v>0</v>
      </c>
    </row>
    <row r="6" spans="1:14" x14ac:dyDescent="0.25">
      <c r="I6" s="40"/>
      <c r="J6" s="6" t="s">
        <v>335</v>
      </c>
      <c r="L6" s="5">
        <f>SUM(L2:L4)</f>
        <v>0</v>
      </c>
    </row>
    <row r="7" spans="1:14" x14ac:dyDescent="0.25">
      <c r="I7" s="52"/>
      <c r="J7" s="7" t="s">
        <v>336</v>
      </c>
      <c r="L7" s="5">
        <v>0</v>
      </c>
    </row>
    <row r="8" spans="1:14" x14ac:dyDescent="0.25">
      <c r="I8" s="34"/>
      <c r="J8" s="7" t="s">
        <v>337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338</v>
      </c>
      <c r="L10" s="8">
        <f>M10*N10</f>
        <v>0</v>
      </c>
      <c r="M10" s="41">
        <v>30</v>
      </c>
      <c r="N10" s="41">
        <v>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339</v>
      </c>
      <c r="L13" s="13">
        <f>L6+L7+L8-L10-L11-L12</f>
        <v>0</v>
      </c>
    </row>
    <row r="14" spans="1:14" ht="15.75" x14ac:dyDescent="0.25">
      <c r="J14" s="3" t="s">
        <v>340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9E571-E77A-4D92-95AC-563318B5D951}">
  <sheetPr codeName="Sheet13"/>
  <dimension ref="A1:N206"/>
  <sheetViews>
    <sheetView workbookViewId="0">
      <selection activeCell="A137" sqref="A3:XFD137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316</v>
      </c>
      <c r="B1" s="34" t="s">
        <v>329</v>
      </c>
      <c r="C1" s="34" t="s">
        <v>319</v>
      </c>
      <c r="D1" s="34" t="s">
        <v>318</v>
      </c>
      <c r="E1" s="34" t="s">
        <v>330</v>
      </c>
      <c r="F1" s="34" t="s">
        <v>321</v>
      </c>
      <c r="G1" s="34" t="s">
        <v>322</v>
      </c>
      <c r="H1" s="34" t="s">
        <v>331</v>
      </c>
      <c r="I1" s="34" t="s">
        <v>332</v>
      </c>
      <c r="J1" s="34" t="s">
        <v>325</v>
      </c>
      <c r="K1" s="34" t="s">
        <v>326</v>
      </c>
      <c r="L1" s="35" t="s">
        <v>327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333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334</v>
      </c>
      <c r="J5" s="42"/>
      <c r="L5" s="43">
        <f>J5*2.5</f>
        <v>0</v>
      </c>
    </row>
    <row r="6" spans="1:14" x14ac:dyDescent="0.25">
      <c r="I6" s="40"/>
      <c r="J6" s="6" t="s">
        <v>335</v>
      </c>
      <c r="L6" s="5">
        <f>SUM(L2:L4)</f>
        <v>0</v>
      </c>
    </row>
    <row r="7" spans="1:14" x14ac:dyDescent="0.25">
      <c r="I7" s="52"/>
      <c r="J7" s="7" t="s">
        <v>336</v>
      </c>
      <c r="L7" s="5">
        <v>0</v>
      </c>
    </row>
    <row r="8" spans="1:14" x14ac:dyDescent="0.25">
      <c r="I8" s="34"/>
      <c r="J8" s="7" t="s">
        <v>337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338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339</v>
      </c>
      <c r="L13" s="13">
        <f>L6+L7+L8-L10-L11-L12</f>
        <v>-300</v>
      </c>
    </row>
    <row r="14" spans="1:14" ht="15.75" x14ac:dyDescent="0.25">
      <c r="J14" s="3" t="s">
        <v>340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224DA-D743-4057-AB4F-3FA13C27D0D1}">
  <sheetPr codeName="Sheet14"/>
  <dimension ref="A1:N206"/>
  <sheetViews>
    <sheetView workbookViewId="0">
      <selection activeCell="A3" sqref="A3:XFD171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316</v>
      </c>
      <c r="B1" s="34" t="s">
        <v>329</v>
      </c>
      <c r="C1" s="34" t="s">
        <v>319</v>
      </c>
      <c r="D1" s="34" t="s">
        <v>318</v>
      </c>
      <c r="E1" s="34" t="s">
        <v>330</v>
      </c>
      <c r="F1" s="34" t="s">
        <v>321</v>
      </c>
      <c r="G1" s="34" t="s">
        <v>322</v>
      </c>
      <c r="H1" s="34" t="s">
        <v>331</v>
      </c>
      <c r="I1" s="34" t="s">
        <v>332</v>
      </c>
      <c r="J1" s="34" t="s">
        <v>325</v>
      </c>
      <c r="K1" s="34" t="s">
        <v>326</v>
      </c>
      <c r="L1" s="35" t="s">
        <v>327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333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334</v>
      </c>
      <c r="J5" s="42"/>
      <c r="L5" s="43">
        <f>J5*2.5</f>
        <v>0</v>
      </c>
    </row>
    <row r="6" spans="1:14" x14ac:dyDescent="0.25">
      <c r="I6" s="40"/>
      <c r="J6" s="6" t="s">
        <v>335</v>
      </c>
      <c r="L6" s="5">
        <f>SUM(L2:L4)</f>
        <v>0</v>
      </c>
    </row>
    <row r="7" spans="1:14" x14ac:dyDescent="0.25">
      <c r="I7" s="52"/>
      <c r="J7" s="7" t="s">
        <v>336</v>
      </c>
      <c r="L7" s="5">
        <v>0</v>
      </c>
    </row>
    <row r="8" spans="1:14" x14ac:dyDescent="0.25">
      <c r="I8" s="34"/>
      <c r="J8" s="7" t="s">
        <v>337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338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339</v>
      </c>
      <c r="L13" s="13">
        <f>L6+L7+L8-L10-L11-L12</f>
        <v>-300</v>
      </c>
    </row>
    <row r="14" spans="1:14" ht="15.75" x14ac:dyDescent="0.25">
      <c r="J14" s="3" t="s">
        <v>340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B94D4-9D96-4D08-89FB-7E0320D2E382}">
  <sheetPr codeName="Sheet15"/>
  <dimension ref="A1:N206"/>
  <sheetViews>
    <sheetView workbookViewId="0">
      <selection activeCell="E21" sqref="E21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316</v>
      </c>
      <c r="B1" s="34" t="s">
        <v>329</v>
      </c>
      <c r="C1" s="34" t="s">
        <v>319</v>
      </c>
      <c r="D1" s="34" t="s">
        <v>318</v>
      </c>
      <c r="E1" s="34" t="s">
        <v>330</v>
      </c>
      <c r="F1" s="34" t="s">
        <v>321</v>
      </c>
      <c r="G1" s="34" t="s">
        <v>322</v>
      </c>
      <c r="H1" s="34" t="s">
        <v>331</v>
      </c>
      <c r="I1" s="34" t="s">
        <v>332</v>
      </c>
      <c r="J1" s="34" t="s">
        <v>325</v>
      </c>
      <c r="K1" s="34" t="s">
        <v>326</v>
      </c>
      <c r="L1" s="35" t="s">
        <v>327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333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334</v>
      </c>
      <c r="J5" s="42"/>
      <c r="L5" s="43">
        <f>J5*2.5</f>
        <v>0</v>
      </c>
    </row>
    <row r="6" spans="1:14" x14ac:dyDescent="0.25">
      <c r="I6" s="40"/>
      <c r="J6" s="6" t="s">
        <v>335</v>
      </c>
      <c r="L6" s="5">
        <f>SUM(L2:L4)</f>
        <v>0</v>
      </c>
    </row>
    <row r="7" spans="1:14" x14ac:dyDescent="0.25">
      <c r="I7" s="52"/>
      <c r="J7" s="7" t="s">
        <v>336</v>
      </c>
      <c r="L7" s="5">
        <v>0</v>
      </c>
    </row>
    <row r="8" spans="1:14" x14ac:dyDescent="0.25">
      <c r="I8" s="34"/>
      <c r="J8" s="7" t="s">
        <v>337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338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339</v>
      </c>
      <c r="L13" s="13">
        <f>L6+L7+L8-L10-L11-L12</f>
        <v>-300</v>
      </c>
    </row>
    <row r="14" spans="1:14" ht="15.75" x14ac:dyDescent="0.25">
      <c r="J14" s="3" t="s">
        <v>340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6CC53-1AC2-4F0E-A73E-B26115EA7CC0}">
  <sheetPr codeName="Sheet16"/>
  <dimension ref="A1:N206"/>
  <sheetViews>
    <sheetView workbookViewId="0">
      <selection activeCell="J21" sqref="J21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316</v>
      </c>
      <c r="B1" s="34" t="s">
        <v>329</v>
      </c>
      <c r="C1" s="34" t="s">
        <v>319</v>
      </c>
      <c r="D1" s="34" t="s">
        <v>318</v>
      </c>
      <c r="E1" s="34" t="s">
        <v>330</v>
      </c>
      <c r="F1" s="34" t="s">
        <v>321</v>
      </c>
      <c r="G1" s="34" t="s">
        <v>322</v>
      </c>
      <c r="H1" s="34" t="s">
        <v>331</v>
      </c>
      <c r="I1" s="34" t="s">
        <v>332</v>
      </c>
      <c r="J1" s="34" t="s">
        <v>325</v>
      </c>
      <c r="K1" s="34" t="s">
        <v>326</v>
      </c>
      <c r="L1" s="35" t="s">
        <v>327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333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334</v>
      </c>
      <c r="J5" s="42"/>
      <c r="L5" s="43">
        <f>J5*2.5</f>
        <v>0</v>
      </c>
    </row>
    <row r="6" spans="1:14" x14ac:dyDescent="0.25">
      <c r="I6" s="40"/>
      <c r="J6" s="6" t="s">
        <v>335</v>
      </c>
      <c r="L6" s="5">
        <f>SUM(L2:L4)</f>
        <v>0</v>
      </c>
    </row>
    <row r="7" spans="1:14" x14ac:dyDescent="0.25">
      <c r="I7" s="52"/>
      <c r="J7" s="7" t="s">
        <v>336</v>
      </c>
      <c r="L7" s="5">
        <v>0</v>
      </c>
    </row>
    <row r="8" spans="1:14" x14ac:dyDescent="0.25">
      <c r="I8" s="34"/>
      <c r="J8" s="7" t="s">
        <v>337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338</v>
      </c>
      <c r="L10" s="8">
        <f>M10*N10</f>
        <v>900</v>
      </c>
      <c r="M10" s="41">
        <v>90</v>
      </c>
      <c r="N10" s="41">
        <v>10</v>
      </c>
    </row>
    <row r="11" spans="1:14" x14ac:dyDescent="0.25">
      <c r="J11" s="3" t="s">
        <v>32</v>
      </c>
      <c r="L11" s="5">
        <v>0</v>
      </c>
      <c r="M11" s="220"/>
      <c r="N11" s="221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339</v>
      </c>
      <c r="L13" s="13">
        <f>L6+L7+L8-L10-L11-L12</f>
        <v>-900</v>
      </c>
    </row>
    <row r="14" spans="1:14" ht="15.75" x14ac:dyDescent="0.25">
      <c r="J14" s="3" t="s">
        <v>340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mergeCells count="1">
    <mergeCell ref="M11:N1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77323-F1CC-4DCB-B364-227E3CF4BB0D}">
  <sheetPr codeName="Sheet17"/>
  <dimension ref="A1:N206"/>
  <sheetViews>
    <sheetView workbookViewId="0">
      <selection activeCell="E22" sqref="E22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316</v>
      </c>
      <c r="B1" s="34" t="s">
        <v>329</v>
      </c>
      <c r="C1" s="34" t="s">
        <v>319</v>
      </c>
      <c r="D1" s="34" t="s">
        <v>318</v>
      </c>
      <c r="E1" s="34" t="s">
        <v>330</v>
      </c>
      <c r="F1" s="34" t="s">
        <v>321</v>
      </c>
      <c r="G1" s="34" t="s">
        <v>322</v>
      </c>
      <c r="H1" s="34" t="s">
        <v>331</v>
      </c>
      <c r="I1" s="34" t="s">
        <v>332</v>
      </c>
      <c r="J1" s="34" t="s">
        <v>325</v>
      </c>
      <c r="K1" s="34" t="s">
        <v>326</v>
      </c>
      <c r="L1" s="35" t="s">
        <v>327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333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334</v>
      </c>
      <c r="J5" s="42"/>
      <c r="L5" s="43">
        <f>J5*2.5</f>
        <v>0</v>
      </c>
    </row>
    <row r="6" spans="1:14" x14ac:dyDescent="0.25">
      <c r="I6" s="40"/>
      <c r="J6" s="6" t="s">
        <v>335</v>
      </c>
      <c r="L6" s="5">
        <f>SUM(L2:L4)</f>
        <v>0</v>
      </c>
    </row>
    <row r="7" spans="1:14" x14ac:dyDescent="0.25">
      <c r="I7" s="52"/>
      <c r="J7" s="7" t="s">
        <v>336</v>
      </c>
      <c r="L7" s="5">
        <v>0</v>
      </c>
    </row>
    <row r="8" spans="1:14" x14ac:dyDescent="0.25">
      <c r="I8" s="34"/>
      <c r="J8" s="7" t="s">
        <v>337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338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339</v>
      </c>
      <c r="L13" s="13">
        <f>L6+L7+L8-L10-L11-L12</f>
        <v>-300</v>
      </c>
    </row>
    <row r="14" spans="1:14" ht="15.75" x14ac:dyDescent="0.25">
      <c r="J14" s="3" t="s">
        <v>340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2E750-5BC5-4C83-927B-C1B85DF74EFB}">
  <sheetPr codeName="Sheet18"/>
  <dimension ref="A1:N206"/>
  <sheetViews>
    <sheetView workbookViewId="0">
      <selection activeCell="E18" sqref="E18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316</v>
      </c>
      <c r="B1" s="34" t="s">
        <v>329</v>
      </c>
      <c r="C1" s="34" t="s">
        <v>319</v>
      </c>
      <c r="D1" s="34" t="s">
        <v>318</v>
      </c>
      <c r="E1" s="34" t="s">
        <v>330</v>
      </c>
      <c r="F1" s="34" t="s">
        <v>321</v>
      </c>
      <c r="G1" s="34" t="s">
        <v>322</v>
      </c>
      <c r="H1" s="34" t="s">
        <v>331</v>
      </c>
      <c r="I1" s="34" t="s">
        <v>332</v>
      </c>
      <c r="J1" s="34" t="s">
        <v>325</v>
      </c>
      <c r="K1" s="34" t="s">
        <v>326</v>
      </c>
      <c r="L1" s="35" t="s">
        <v>327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333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334</v>
      </c>
      <c r="J5" s="42"/>
      <c r="L5" s="43">
        <f>J5*2.5</f>
        <v>0</v>
      </c>
    </row>
    <row r="6" spans="1:14" x14ac:dyDescent="0.25">
      <c r="I6" s="40"/>
      <c r="J6" s="6" t="s">
        <v>335</v>
      </c>
      <c r="L6" s="5">
        <f>SUM(L2:L4)</f>
        <v>0</v>
      </c>
    </row>
    <row r="7" spans="1:14" x14ac:dyDescent="0.25">
      <c r="I7" s="52"/>
      <c r="J7" s="7" t="s">
        <v>336</v>
      </c>
      <c r="L7" s="5">
        <v>0</v>
      </c>
    </row>
    <row r="8" spans="1:14" x14ac:dyDescent="0.25">
      <c r="I8" s="34"/>
      <c r="J8" s="7" t="s">
        <v>337</v>
      </c>
      <c r="L8" s="5"/>
    </row>
    <row r="9" spans="1:14" x14ac:dyDescent="0.25">
      <c r="J9" s="7" t="s">
        <v>30</v>
      </c>
      <c r="L9" s="5">
        <v>0</v>
      </c>
      <c r="M9" s="34"/>
    </row>
    <row r="10" spans="1:14" x14ac:dyDescent="0.25">
      <c r="J10" s="3" t="s">
        <v>338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339</v>
      </c>
      <c r="L13" s="13">
        <f>L6+L7+L8-L10-L11-L12-L9</f>
        <v>-300</v>
      </c>
    </row>
    <row r="14" spans="1:14" ht="15.75" x14ac:dyDescent="0.25">
      <c r="J14" s="3" t="s">
        <v>340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06688-4648-4BF5-8727-C2EEAE55C781}">
  <sheetPr codeName="Sheet19"/>
  <dimension ref="A1:N206"/>
  <sheetViews>
    <sheetView workbookViewId="0">
      <selection activeCell="M28" sqref="M28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316</v>
      </c>
      <c r="B1" s="34" t="s">
        <v>329</v>
      </c>
      <c r="C1" s="34" t="s">
        <v>319</v>
      </c>
      <c r="D1" s="34" t="s">
        <v>318</v>
      </c>
      <c r="E1" s="34" t="s">
        <v>330</v>
      </c>
      <c r="F1" s="34" t="s">
        <v>321</v>
      </c>
      <c r="G1" s="34" t="s">
        <v>322</v>
      </c>
      <c r="H1" s="34" t="s">
        <v>331</v>
      </c>
      <c r="I1" s="34" t="s">
        <v>332</v>
      </c>
      <c r="J1" s="34" t="s">
        <v>325</v>
      </c>
      <c r="K1" s="34" t="s">
        <v>326</v>
      </c>
      <c r="L1" s="35" t="s">
        <v>327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333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334</v>
      </c>
      <c r="J5" s="42"/>
      <c r="L5" s="43">
        <f>J5*2.5</f>
        <v>0</v>
      </c>
    </row>
    <row r="6" spans="1:14" x14ac:dyDescent="0.25">
      <c r="I6" s="40"/>
      <c r="J6" s="6" t="s">
        <v>335</v>
      </c>
      <c r="L6" s="5">
        <f>SUM(L2:L4)</f>
        <v>0</v>
      </c>
    </row>
    <row r="7" spans="1:14" x14ac:dyDescent="0.25">
      <c r="I7" s="52"/>
      <c r="J7" s="7" t="s">
        <v>336</v>
      </c>
      <c r="L7" s="5">
        <v>0</v>
      </c>
    </row>
    <row r="8" spans="1:14" x14ac:dyDescent="0.25">
      <c r="I8" s="34"/>
      <c r="J8" s="7" t="s">
        <v>337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338</v>
      </c>
      <c r="L10" s="8">
        <f>M10*N10</f>
        <v>0</v>
      </c>
      <c r="M10" s="41">
        <v>30</v>
      </c>
      <c r="N10" s="41">
        <v>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339</v>
      </c>
      <c r="L13" s="13">
        <f>L6+L7+L8-L10-L11-L12</f>
        <v>0</v>
      </c>
    </row>
    <row r="14" spans="1:14" ht="15.75" x14ac:dyDescent="0.25">
      <c r="J14" s="3" t="s">
        <v>340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A935F-9284-4042-9F2B-75CD977BD826}">
  <sheetPr codeName="Sheet20"/>
  <dimension ref="A1:N206"/>
  <sheetViews>
    <sheetView workbookViewId="0">
      <selection activeCell="I25" sqref="I25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316</v>
      </c>
      <c r="B1" s="34" t="s">
        <v>329</v>
      </c>
      <c r="C1" s="34" t="s">
        <v>319</v>
      </c>
      <c r="D1" s="34" t="s">
        <v>318</v>
      </c>
      <c r="E1" s="34" t="s">
        <v>330</v>
      </c>
      <c r="F1" s="34" t="s">
        <v>321</v>
      </c>
      <c r="G1" s="34" t="s">
        <v>322</v>
      </c>
      <c r="H1" s="34" t="s">
        <v>331</v>
      </c>
      <c r="I1" s="34" t="s">
        <v>332</v>
      </c>
      <c r="J1" s="34" t="s">
        <v>325</v>
      </c>
      <c r="K1" s="34" t="s">
        <v>326</v>
      </c>
      <c r="L1" s="35" t="s">
        <v>327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333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334</v>
      </c>
      <c r="J5" s="42"/>
      <c r="L5" s="43">
        <f>J5*2.5</f>
        <v>0</v>
      </c>
    </row>
    <row r="6" spans="1:14" x14ac:dyDescent="0.25">
      <c r="I6" s="40"/>
      <c r="J6" s="6" t="s">
        <v>335</v>
      </c>
      <c r="L6" s="5">
        <f>SUM(L2:L4)</f>
        <v>0</v>
      </c>
    </row>
    <row r="7" spans="1:14" x14ac:dyDescent="0.25">
      <c r="I7" s="52"/>
      <c r="J7" s="7" t="s">
        <v>336</v>
      </c>
      <c r="L7" s="5">
        <v>0</v>
      </c>
    </row>
    <row r="8" spans="1:14" x14ac:dyDescent="0.25">
      <c r="I8" s="34"/>
      <c r="J8" s="7" t="s">
        <v>337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338</v>
      </c>
      <c r="L10" s="8">
        <f>M10*N10</f>
        <v>0</v>
      </c>
      <c r="M10" s="41">
        <v>30</v>
      </c>
      <c r="N10" s="41">
        <v>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339</v>
      </c>
      <c r="L13" s="13">
        <f>L6+L7+L8-L10-L11-L12</f>
        <v>0</v>
      </c>
    </row>
    <row r="14" spans="1:14" ht="15.75" x14ac:dyDescent="0.25">
      <c r="J14" s="3" t="s">
        <v>340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2BD43D2-E78E-495E-BA1F-7660793B498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648BE04-FBFA-40A9-BEA4-8690BC90AF86}">
  <ds:schemaRefs>
    <ds:schemaRef ds:uri="http://schemas.openxmlformats.org/package/2006/metadata/core-properties"/>
    <ds:schemaRef ds:uri="http://purl.org/dc/terms/"/>
    <ds:schemaRef ds:uri="http://purl.org/dc/elements/1.1/"/>
    <ds:schemaRef ds:uri="7f2e4ee4-515b-4d13-9a18-91f5c892a786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7da8d662-c373-4bdc-9a9f-4efd5212cc08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D6AD15F-CAAA-40D3-920E-C61DF3D47C6A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C1FB6BFB-A394-49CE-AEB0-48DF1512E5D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15</vt:i4>
      </vt:variant>
    </vt:vector>
  </HeadingPairs>
  <TitlesOfParts>
    <vt:vector size="50" baseType="lpstr">
      <vt:lpstr>SignBonus</vt:lpstr>
      <vt:lpstr>SEND VDP Statement</vt:lpstr>
      <vt:lpstr>Pay Period</vt:lpstr>
      <vt:lpstr>PR</vt:lpstr>
      <vt:lpstr>NewSheet</vt:lpstr>
      <vt:lpstr>Review</vt:lpstr>
      <vt:lpstr>Div10PartnerListUber</vt:lpstr>
      <vt:lpstr>PRExportPrep</vt:lpstr>
      <vt:lpstr>PaylocityPRExport</vt:lpstr>
      <vt:lpstr>Sheet1</vt:lpstr>
      <vt:lpstr>SumUberReport</vt:lpstr>
      <vt:lpstr>UberReport</vt:lpstr>
      <vt:lpstr>JasperReport</vt:lpstr>
      <vt:lpstr>Sheet2</vt:lpstr>
      <vt:lpstr>TrapezeReport</vt:lpstr>
      <vt:lpstr>Deductions</vt:lpstr>
      <vt:lpstr>Div10PartnerDetails</vt:lpstr>
      <vt:lpstr>DIV10PartnerList</vt:lpstr>
      <vt:lpstr>ExPre</vt:lpstr>
      <vt:lpstr>TollsChecks</vt:lpstr>
      <vt:lpstr>FilePath</vt:lpstr>
      <vt:lpstr>CoastTransactions</vt:lpstr>
      <vt:lpstr>CoastTransactionsChecks</vt:lpstr>
      <vt:lpstr>TrapezeFuel</vt:lpstr>
      <vt:lpstr>BLANK WORKSHEET</vt:lpstr>
      <vt:lpstr>Bastien, R</vt:lpstr>
      <vt:lpstr>Battle, T</vt:lpstr>
      <vt:lpstr>Golden Pothos</vt:lpstr>
      <vt:lpstr>LeLe Trans</vt:lpstr>
      <vt:lpstr>McKinley, J</vt:lpstr>
      <vt:lpstr>Orion</vt:lpstr>
      <vt:lpstr>Qawee, Y</vt:lpstr>
      <vt:lpstr>SR Truck</vt:lpstr>
      <vt:lpstr>BLANK1 CATA</vt:lpstr>
      <vt:lpstr>BLANK2 CATA</vt:lpstr>
      <vt:lpstr>FilePath1</vt:lpstr>
      <vt:lpstr>FilePath10</vt:lpstr>
      <vt:lpstr>FilePath11</vt:lpstr>
      <vt:lpstr>FilePath12</vt:lpstr>
      <vt:lpstr>FilePath13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PartnerList</vt:lpstr>
      <vt:lpstr>ref_ExportRange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Big Star</dc:creator>
  <cp:keywords/>
  <dc:description/>
  <cp:lastModifiedBy>USER</cp:lastModifiedBy>
  <cp:revision/>
  <dcterms:created xsi:type="dcterms:W3CDTF">2019-08-19T20:31:19Z</dcterms:created>
  <dcterms:modified xsi:type="dcterms:W3CDTF">2025-02-17T15:07:43Z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2024-07-25T16:36:31Z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89b2afa7-4faf-455b-b800-2c1b1734a065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